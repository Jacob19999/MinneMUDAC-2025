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24226"/>
  <mc:AlternateContent xmlns:mc="http://schemas.openxmlformats.org/markup-compatibility/2006">
    <mc:Choice Requires="x15">
      <x15ac:absPath xmlns:x15ac="http://schemas.microsoft.com/office/spreadsheetml/2010/11/ac" url="C:\Users\user\Desktop\MUDAC\Prompt\"/>
    </mc:Choice>
  </mc:AlternateContent>
  <xr:revisionPtr revIDLastSave="0" documentId="13_ncr:1_{0994D6C5-B124-46A3-BCD1-CA70F9F0E39A}" xr6:coauthVersionLast="47" xr6:coauthVersionMax="47" xr10:uidLastSave="{00000000-0000-0000-0000-000000000000}"/>
  <bookViews>
    <workbookView xWindow="44880" yWindow="-120" windowWidth="51840" windowHeight="21120" xr2:uid="{00000000-000D-0000-FFFF-FFFF00000000}"/>
  </bookViews>
  <sheets>
    <sheet name="Sheet1"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3" i="1" l="1"/>
  <c r="AA4" i="1"/>
  <c r="AA5" i="1"/>
  <c r="AA6" i="1"/>
  <c r="AA7" i="1"/>
  <c r="AA2" i="1"/>
  <c r="E3" i="1"/>
  <c r="E4" i="1"/>
  <c r="E5" i="1"/>
  <c r="E6" i="1"/>
  <c r="E7" i="1"/>
  <c r="E2" i="1"/>
  <c r="D3" i="1"/>
  <c r="D4" i="1"/>
  <c r="D5" i="1"/>
  <c r="D6" i="1"/>
  <c r="D7" i="1"/>
  <c r="D2" i="1"/>
  <c r="C6" i="1"/>
  <c r="C7" i="1"/>
  <c r="B3" i="1"/>
  <c r="B4" i="1"/>
  <c r="B5" i="1"/>
  <c r="B6" i="1"/>
  <c r="B7" i="1"/>
  <c r="B2" i="1"/>
  <c r="R3" i="1"/>
  <c r="R4" i="1"/>
  <c r="R5" i="1"/>
  <c r="R6" i="1"/>
  <c r="R7" i="1"/>
  <c r="R2" i="1"/>
  <c r="Z3" i="1"/>
  <c r="Z4" i="1"/>
  <c r="Z5" i="1"/>
  <c r="Z6" i="1"/>
  <c r="Z7" i="1"/>
  <c r="Z2" i="1"/>
  <c r="V3" i="1"/>
  <c r="V4" i="1"/>
  <c r="V5" i="1"/>
  <c r="V6" i="1"/>
  <c r="V7" i="1"/>
  <c r="V2" i="1"/>
  <c r="U3" i="1"/>
  <c r="U4" i="1"/>
  <c r="U5" i="1"/>
  <c r="U6" i="1"/>
  <c r="U7" i="1"/>
  <c r="U2" i="1"/>
  <c r="Q3" i="1"/>
  <c r="Q4" i="1"/>
  <c r="Q5" i="1"/>
  <c r="Q6" i="1"/>
  <c r="Q7" i="1"/>
  <c r="Q2" i="1"/>
  <c r="P3" i="1"/>
  <c r="P4" i="1"/>
  <c r="P5" i="1"/>
  <c r="P6" i="1"/>
  <c r="P7" i="1"/>
  <c r="P2" i="1"/>
  <c r="X3" i="1"/>
  <c r="X4" i="1"/>
  <c r="X5" i="1"/>
  <c r="X6" i="1"/>
  <c r="X7" i="1"/>
  <c r="X2" i="1"/>
  <c r="M3" i="1"/>
  <c r="M4" i="1"/>
  <c r="M5" i="1"/>
  <c r="M6" i="1"/>
  <c r="M7" i="1"/>
  <c r="M2" i="1"/>
  <c r="Y3" i="1"/>
  <c r="Y4" i="1"/>
  <c r="Y5" i="1"/>
  <c r="Y6" i="1"/>
  <c r="Y7" i="1"/>
  <c r="Y2" i="1"/>
  <c r="W3" i="1"/>
  <c r="W4" i="1"/>
  <c r="W5" i="1"/>
  <c r="W6" i="1"/>
  <c r="W7" i="1"/>
  <c r="W2" i="1"/>
  <c r="T3" i="1"/>
  <c r="T4" i="1"/>
  <c r="T5" i="1"/>
  <c r="T6" i="1"/>
  <c r="T7" i="1"/>
  <c r="T2" i="1"/>
  <c r="O3" i="1"/>
  <c r="O4" i="1"/>
  <c r="O5" i="1"/>
  <c r="O6" i="1"/>
  <c r="O7" i="1"/>
  <c r="O2" i="1"/>
  <c r="S3" i="1"/>
  <c r="S4" i="1"/>
  <c r="S5" i="1"/>
  <c r="S6" i="1"/>
  <c r="S7" i="1"/>
  <c r="S2" i="1"/>
  <c r="N3" i="1"/>
  <c r="N4" i="1"/>
  <c r="N5" i="1"/>
  <c r="N6" i="1"/>
  <c r="N7" i="1"/>
  <c r="N2" i="1"/>
  <c r="L3" i="1"/>
  <c r="L4" i="1"/>
  <c r="L5" i="1"/>
  <c r="L6" i="1"/>
  <c r="L7" i="1"/>
  <c r="L2" i="1"/>
</calcChain>
</file>

<file path=xl/sharedStrings.xml><?xml version="1.0" encoding="utf-8"?>
<sst xmlns="http://schemas.openxmlformats.org/spreadsheetml/2006/main" count="61" uniqueCount="59">
  <si>
    <t>Match ID 18Char</t>
  </si>
  <si>
    <t>Rationale for Match</t>
  </si>
  <si>
    <t>Closure Reason</t>
  </si>
  <si>
    <t>Closure Details</t>
  </si>
  <si>
    <t>Dated Short Notes</t>
  </si>
  <si>
    <t>QueryStr</t>
  </si>
  <si>
    <t>a1v2J0000027dtOQAQ</t>
  </si>
  <si>
    <t>a1v2J000002uR0JQAU</t>
  </si>
  <si>
    <t>a1v2J0000039UeRQAU</t>
  </si>
  <si>
    <t>a1v2J000003Ef9jQAC</t>
  </si>
  <si>
    <t>a1v2J0000027NsOQAU</t>
  </si>
  <si>
    <t>a1v2J0000028pRvQAI</t>
  </si>
  <si>
    <t>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t>
  </si>
  <si>
    <t>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t>
  </si>
  <si>
    <t>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t>
  </si>
  <si>
    <t>1. Distance: 14 miles (18 mins) 2. Shared Traits: Both are friendly, talkative, polite, curious, energetic and respectful. 3. Shared Interests: Both love math, engineering, active outdoorsy, animals and trying new things. ***Both family and BS are open to cross-gender matching.</t>
  </si>
  <si>
    <t>Child/Family: Feels incompatible with volunteer</t>
  </si>
  <si>
    <t>Volunteer: Moved</t>
  </si>
  <si>
    <t>Volunteer: Health</t>
  </si>
  <si>
    <t>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t>
  </si>
  <si>
    <t>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t>
  </si>
  <si>
    <t>2018-02-14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B_first_name said that everything in the match so far is great. The match meeting was great and for their first outing they went bowling. B_first_name said it wasn't awkward at all and they really connected. They also went to the library and played checkers and read a book. B_first_name also attended L_first_name's basketball game and he sat next to Jill and they talked quite a bit. They have really good communication. There are no concerns or questions about the match or program yet. MEC explained her role moving forward and told B_first_name he can always check in for questions, concerns, or ideas between monthly calls.
2018-03-20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B_first_name said that everything is going well. They only have gotten together once since we last spoke and they went roller skating. B_first_name said it pushed him out of his comfort zone because he hasn't skated for 15 years, but he had a lot of fun. They are looking forward to going biking this summer. B_first_name also gave a list of ideas to L_first_name for things for them to do this summer. MEC asked B_first_name about the Match Connection party and sent him the registration information for April's parties. B_first_name said that L_first_name is a great young man. Conversations are really good and he said L_first_name is very outgoing. He also said that L_first_name wears his seatbelt in the car. Match continues to go strong and B_first_name didn't have any questions or concerns.
2018-04-25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Seen otes Question: Other Comments-List progress/activities in school and in JJ System: Answer: See notes Question: MSS Notes: Answer: B_first_name said that things are going well. Unforuntunately their match party was cancelled and they weren't able to get together that evening to do something else. B_first_name and L_first_name do have plans to go biking this week though since the weather will be nicer and they will be attending the Saints game. MEC reminded B_first_name to make sure that L_first_name wears a helmet when they ride their bikes, and that she is excited to meet them at the Saints game. B_first_name asked if there is a Match Connection party for May. MEC will email him the information for upcomimg match parties. MEC has no concerns about the match and thinks that they will find a lot more to connect over after they can do some outdoor activities.
2018-05-16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Attended Saints Game BIG: What are three things that your little excels at? Extremely outing (carrying conversation), football, acting Little: What is your favorite subject in school? Least favorite? Favorite - gym, worst - math BIG: What have you learned from your little? Smart, well mannered, respectful Little: What have you learned from your BIG? How to play bowling better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Yes, it?s urgent: Yes, but it?s not urgent: X No: 
2018-06-26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Voicemail received: B_first_name said that he was on vacation last week but the relationship with L_first_name is still going really well. For their last outing they went to the National Sports Center and watched some bike races. In July they are going to go to the BBBS picnic and then go to a Saints Game to make up for the rained out BBBS event. B_first_name said to call to follow up with any questions or concerns. MEC feels comfortable leaving this check in brief since everything was fine when we talked in person at the Saints game and MEC will see them at the picnic.
2018-07-16 Question: Activities: Answer: **Attended picnic** BIG: What is the best memory or story you have of your Little? I was teased in school but it was only a problem when I did it back or let it bother me. Little: How are you a good friend to your Big? What makes your Big a good friend? I am nice and he is very nice to me. BIG: What changes have you seen in your Little since you were matched? More open to sharing what has happened since we last met and what is going on in his life. Little: Are you attending any summer camps, classes, or activities? Yes I am in learning ventures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 ? Yes, but it?s not urgent: ? X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*Attended picnic**
2018-08-02 Question: Activities: Answer: **MEC error, MEC talked with Big at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error, MEC talked with Big at summer picnic**
2018-09-05 Question: Activities: Answer: MEC asked B_first_name how everything is going. Big indicated things continue to go well. This is a very strong match that gets together frequently. Big indicated last outing was last week. Match went to Adventure Park. MEC asked Big what that was, he said "they have trampolines, it is like ninja warrior". Big said he had fun despite the age difference. Big said he thought he was too old for most of the activities there. Communication with PG is going well. Little started school on Tuesday but Big doesn't expect schedule to change. Big isn't sure what to do for next outing, MEC suggested Bigs Page and also Wilderness Inquiry event. Big seemed more interested and that and requested MEC email him event flyer. MEC has no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very strong and continues to go well. Outings are regular and communication continues to go well. Big requested MEC help with activity planning. MEC followed up with email. MEC has no concerns at this time.
2018-10-08 Question: Activities: Answer: Last outing we went to Urban Air - an indoor activity park (trampolines, obstacle courses, climbing walls). Will attend Football game next week. Planning activities is getting more difficult (school activities, weather, variety). 2. What are some areas you would like to help your Little grow in? Being more in the moment less cell phone. 3. Was there ever a time you had difficulty saying NO to your Little? If so, what happened? No. He is very respectful. 4. What opportunities do you give your Little to make decisions? What decisions have you and your Little made together? When we attend a function he will make the decision on what activities we do. We usually decide together when we are done. 5. Do you have anything else you would like to share, any concerns (communication with parent/ activity planning)? Do you have any updates to report (i.e new job, new address, contact information)? We did not get together in September but I will see him next week (football game). MEC response: Hi B_first_name, Thank you for checking in with me this month. When I spoke with Jill in September she did mention they were out of town. I am glad you and L_first_name are able to schedule and outing for this month. As far as activities go, I recommend checking out our Bigs page We have a lot of fun events planned for October like our Fall Festival, Outdoor Buddies Log Rolling, and Film Fest. I also attached a document with community events for October. If you need any additional support on this please let me know. Have a great Monday!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Match was not able to see each other in September due to family being out of town. Big and LB are now scheduled to attend a football game together. Big continues to have great communication with PG. MEC has no concerns, match has a great relationship. Will continue with regular support.
2018-11-06 Question: Activities: Answer: MEC asked BB how things are going with match. BB reports things continue to go well. Last outing was canceled due to LB feeling sick. LB had asked BB to take him to Trail of Terror as a fun fall activity to do. BB was fine with it since they had talked about LB getting over his fear. They plan on going to Bowlero this weekend. MEC asked how scheduling is going since last check in with MEC PG said LB is really busy. LB is involved in basketball, football, and is in a play at school. LB did mention scheduling used to be a lot more challenging since BB did not have weekends availability. Now match will usually get together on the weekends or weekdays after school, depending on what they are doing or have planned. MEC thanked BB for working around LB schedule. BB said LB is a great kid and is doing great things. He is happy to be mentoring LB and did not report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great despite a few canceled outings. Last outing was canceled due to LB being sick and previously BB was on vacation. LB is busy with extra-curricular activities that he is involved in at school. This used to be a problem for match due to BB not being able to meet on weekends. However BB and LB work around his busy schedule. MEC has no concerns and will continue to support.
2018-12-11 Question: Activities: Answer: Event and date: ¬¬¬¬¬¬¬¬¬¬¬¬¬¬¬¬Winter Picnic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we both have many things in common 2. Big: Does your Little communicate more easily with adults or peers? Why? L_first_name can converse with anyone young or old- good listener Little: If you had to eat the same meal for the rest of your life, what food would you choose and why? Croissants because you can eat them for ever 3. As a match, do you and your Little have a New Year?s resolution or goal? Explain Continue to stay connected and meet regularly like we did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No_X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glad she was finally able to meet match in person. LB is so sweet and respectful. MEC brieflt chatted with him about his school play and other extra curricular activities he is involved in. Match is very strong. MEC has no concerns and will continue to support.
2019-01-02 Question: Activities: Answer: Aim Error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2019-02-05 Question: Activities: Answer: MEC checked in with BB this month. BB said PG is undergoing chemotherapy sessions right now. It has been difficult scheduling outings because LB is in the care of a neighbor while mom is going to chemotherapy. The last time match got together was some weeks ago when BB went to LB basketball game. That is when PG told BB about her chemotherapy. MEC asked BB if he had a chance to talk to LB about it, he has not. BB said he understands this is a difficult time for family and is being patient. He will reach out to mom but understands that scheduling outings at this time but be hard. MEC said she understands and thanked BB for his patience. MEC said if BB needs any additional support to please reach out.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and LB have not gotten together in a few weeks. Last time they got together BB went to LB basketball game. PG disclosed that she is going to chemotherapy sessions. BB is being patient with family as he knows scheduling outings during this time can be difficult. MEC said she understands and appreciates his patience. MEC will continue to support match.
2019-06-17 Overall, the match sounds like it's going very well. BB speaks very highly of LB's maturity, curiosity, courteousness, and active engagement in their activities. He also mentioned that feedback from PG has been very positive. They visited Medtronic a few weeks ago for a career exploration activity and LB had an absolute blast and is now exploring engineering pathways. They plan to attend an FBI career seminar next week and the summer picnic in July. MEC also pushed for Science museum tickets, BB sounded highly interested. BB was concerned about a few things: 1) LB wants to know more about his father, who has never really been a part of his life, so BB will speak with PG about how to support that (MEC said ok as long as PG is on board); 2) BB and LB have begun to talk about faith and forgiveness, BB wants to speak with PG about furthering this conversation and possibly doing faith-based activities; 3) BB was concerned that their match would close as LB entered teenage years, MEC told him they would likely transition to a teen match; 4) BB is having some trouble with BigApp. This sounds like a highly engaged and active match and BB seems to have a skill for supporting LB in exploring his world both internally and externally. It sounds like this match has the potential for a very long lifespan and BB is extremely engaged.
2019-09-19 How many times have you met up with your Little since our last check in? (Give your best estimate) 2 How many hours do you typically spend together? 4 Please provide a brief update of your match. What activities have you been doing? What's new and exciting? Have you faced any challenges? REFLECT &amp; SHARE: We attended the BBBS picnic and the state fair. L_first_name?s first time attending the fair and he loved it all including the bus ride. We both had a busy late summer. My daughter got married and another daughter had a child. L_first_name began football and went to a camp. We did not get together as often as we?d like. Grades are important for your Little, but don't overlook their social development and their ability to take advantage of support systems and extracurricular opportunities while they're in school. Describe how you check in with your Little about their school life. How do you help them address challenges and celebrate their success? We always talk about school, classes and grades. L_first_name is an excellent student and excel in the classroom. He is also very active in extra curriculars (football, theater, basketball). SHARE POWER (based on the Search Institute's Developmental Relationships Framework): Too often, youth are viewed only as the recipients of education. In doing so, society undervalues the knowledge they acquire on their own and their lived experience. Research has shown there is tremendous value in giving youth the platform to flip this relationship upside down. All youth have the capacity to teach adults something new or offer a meaningful glimpse of the world through their eyes. Describe a time where your Little has taught you something new or helped you see something from their perspective. L_first_name is very relational. When we are together he is a great example to me of relating to others in conversation, silliness, respect, curiosity, honesty and openness. And not being self-conscious. SHARE POWER: Regardless of your answer to the previous question, describe how you will provide your Little opportunities in the future to teach you something new or help you see something from their perspective. I do a lot of listening and observing and questioning. He is very conversant and generally carries our conversations. This works well for us. Checking In Regarding School: Now that the school year has begun, describe how you stay informed with how your Little is doing in school from the perspective of their parent/guardian? Has anything come up that your Match Engagement Coordinator should be aware of or could support you with? Text and talk with L_first_name?s mom and him on these subjects. Will attend his extra curricular activities when I can. Many parents/guardians have barriers far out of their control (work schedule, language barriers, mental or physical health, etc.) that make it difficult to be fully informed about their child's school life. You can play a critical role in keeping the Parent/Guardian informed by building a trusting, positive relationship with your Little and asking probing, open-ended questions about school. Describe your strategy for keeping your Parent/Guardian up to speed with information you may gather about their child's school life. Will continue to probe in this area and discuss with his mother. Has not been an issue at all When using public restrooms: Escort the child to any public restroom to ensure safety When returning home after an activity: Escort the child to the door to ensure his/her safety., Check in with the parent/guardian at this time, letting him/her know how the activity went., Communicate any concerns about the child privately with the parent/guardian., I have read and fully understand the above child safety policies. If you have a question regarding one or more of the Child Safety policy items listed above, please write it here. No questions Do you have any other questions or concerns you would like to discuss? If so, please provide a time and method of contact for me to follow up. Thank you for taking the time out of your schedule to check in. Not at this time.
2019-12-16 BBBS December Check In Form Please provide a brief update of your match. What activities have you been doing? What's new and exciting? Have you faced any challenges? REFLECT &amp; SHARE: * The last three months have seen the least interaction of our entire relationship. We did attend the state fair and a school play. But since school has started L_first_name has been very active in football and the school play. Our relationship is still very good but our interactions have been fewer. L_first_name has a new interest: girls. His mom has asked me to have conversations with him on this subject. Please describe any activities your Little loves to do in the winter. Please describe any activities you love to do in the winter. Examples: ice skating, hot chocolate, sledding, and playing board games. * L_first_name: roller skating, ice skating, basketball Me: sledding, indoor stuff Have you had an opportunity to do any of these activities together this year? * No Do you celebrate any holidays or have any traditions during the winter? Has your Little been able to celebrate with you in any way? Please describe. * Traditional Christmas get togethers with family, gift exchange. I have not done these with L_first_name. Please describe any recent significant changes in the lives of your Little and their family (moving, new phone #, death/illness, new job schedule, etc.)? Do you anticipate any challenges for your Little or their family as we approach winter? * No significant changes recently or expected for either of us. If you feel comfortable sharing, please describe any recent significant changes in your life? Have you shared this with your Little and their Parent/Guardian? * Recently celebrated the birth of our first grandchild Have you had any issues with communication, planning activities, or budgeting with your Little's Parent/Guardian? If so, please describe. * No communication issues. Busy schedules have prevented us from meeting as frequently as we have in the past. Child Safety Policy Review: High Risk Activities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None at this time
2020-03-09 BB reports the match is going very well and they are meeting up consistently. MEC and BB discussed the celebration of their 2 year anniversary. MEC encouraged BB to register for anniversary party BB reports that February was an especially good month They went to a movie; went bowling for PBS taping to promote BBBS; went to LB's school play (played Scarecrow in The Wizard of Oz) Comms are really good; BB and PG talked a lot at the play. They have a very strong bond. No big changes in anyone's lives MEC talked about teen programming, which the match has already taken advantage of. Challenging growth: up until recently, BB has done most of the listening to LB...who loves to talk; recently, BB is learning to talk more in the relationship. MEC insisted that this was a wise order for their relationship to develop. No plans for next outing at this time MEC reviewed safety concerns regarding coronovirus and encouraged match to take a break if anyone in either household is feeling ill No other issues or concerns at this time.
2020-06-09 June Online Check In Form Please provide a brief update of your match. What activities (virtual or in-person) have you been doing? Have you faced any challenges with connecting remotely? REFLECT &amp; SHARE: * L_first_name, his Mom and I have texted a couple of times but have had no in person meetings since February. (Optional) Please feel free to use this space to share any thoughts or feelings you have related to the death of George Floyd and the following protests and violence in the Twin Cities. Have you been directly affected? This may help me to better support you and your match. (Optional) Do you feel like these events may have an impact on your match? If so, how? (Optional) Would you like me to connect you with any resources to support you and your Little process your thoughts and emotions together or individually? If so, can you give me an idea of what may help? I highly encouraged you to reach out to your Little's parent / guardian as soon as possible to see how they're doing. Please try to ask whether or not they feel comfortable with you discussing George Floyd's death, the protests and violence, or police/community relations with your Little. It's important that you're on the same page and respectful of their wishes. Have you had any issues with communication, planning activities, or budgeting with your Little and their Parent/Guardian? If so, please describe. * We have had very little communication other than texting from time to time. Safety Policy Review - COVID-19 basics from the CDC Mentoring can be hard work! Is there any way I can help make your match more successful? This form will count as your monthly support check-in. If you would like to schedule a follow-up phone conversation, please use this link to schedule a call : ( )
2020-09-24 BBBS September 2020 Check In Form Please provide your full name and any recent updates to your contact info (phone #, email, street address) * B_first_name B_last_name How many times have you met up (virtually or in-person) with your Little since your last check in? Give your best estimate * 3 How many hours do you typically spend together? * 3 REFLECT &amp; SHARE: Please provide a brief update of your match. What activities (virtual or in-person) have you been doing? Please describe any recent highlights or challenges? * In person we went for a bike ride near L_first_name?s home. Virtually we texted to get an update on how he is doing and what plans are for school. Whether you've been meeting up with your Little in person or virtually, please describe how your conversations have been going recently. What do you usually talk about? Has there been any significant change in their life, interests, or personality? * We talk about his friendships and relationships with other students and what he has been doing to stay active. No significant changes. What sort of activities have you been doing this summer (virtually or in person)? Have any ideas been particularly successful or challenging? Have you had a chance to try anything new or interesting? * Our interactions have been limited to one meeting and texting. No new activities. How will your Little be attending school this year? How do you plan to support them with adapting to changes in their educational environment? L_first_name notes that his school is doing a hybrid model and he?s not quite sure what his schedule will be like. As before, I will take tome to listen to his concerns and how he is doing in school and be flexible with his schedule. Have you had a chance to discuss a plan for safe in person meetups (now or in the future) with your Little's parent/guardian? If so, please describe the plan. I have not. Have you had any issues with communication, planning activities, or budgeting with your Little and their Parent/Guardian? If so, please describe. * No issues as I am flexible to meet as L_first_name?s schedule allows. Safety Policy Review: Involving others on match activities Mentoring can be hard work! Is there any way I can help make your match more successful? This form will count as your monthly support check-in. If you would like to schedule a follow-up phone conversation, please use this link to schedule a call : ( ) No needs at this time.
2021-02-09 BBBS February 2021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Na What activities (virtual or in-person) have you been doing? Please describe any recent highlights or challenges? * A couple of texts to see how they are doing. One email to L_first_name?s mom to gauge interest in BBBS activities being offered. Please describe how your conversations have been going recently. What do you usually talk about? Have there been any significant changes in your lives? * Just ask how they are doing. Please describe how you support your Little to learn, grow, complete tasks, or achieve goals: * Na Please describe how your Little provides you with support to learn, grow, complete tasks, or achieve goals: * Na Has your Little expressed what they're thinking about when it comes to life after high school? Is there anything they are passionate about? * Yes. College, law, real estate How can you help your Little learn more about college and careers? * Continue to have conversations, recommend studies, take to career activities. Have you recently discussed your plan or specific rules for safe in person meetups with your Little's parent/guardian? If so, please give me an update: * No Have you had any issues with communication, planning activities, or budgeting with your Little and their Parent/Guardian? If so, please describe. * Limited communication. Policy &amp; Guideline Reminder: Emergency Situations IMPORTANT: Updated COVID-19 guidelines Mentoring can be challenging! Is there any way I can help make your match more successful? This form will count as your official supp</t>
  </si>
  <si>
    <t>2018-04-30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actually called the match on one of their first two outings, so made a point to follow up the next week with BS. BS said things are going well from her perspective, and that the match has met up twice. MEC asked her what they have done together, and BS shared that the first time they met up, BS and Ls made cookies, and the second time that they got together, the pair made slime (the popular craft slime activity). MEC asked where they were doing these activities, and BS shared that they had done both of them at LS's house. MEC was a bit surprised to hear that, but BS stated that she felt it was good because BS and LS got to take it slow, and that they are going to go out and about for their next activity. MEC strongly encouraged this, and said that it would be great for them to get to explore the city a little. Tying that into a safety question, MEC had been told by the matching team that one of the things the pair really wanted to do was go to BS's house because she has quite a few animals (pigs, horses, chickens, even a peacock). MEC said he wanted to give a reminder that at home activities need to take place a few months into the relationship, and have prior approval from PG before they happen. BS said she was aware of this, and while they were very excited to do this as they think they will bond over it a lot, they are going to wait per BBBS rules. BS had no issue with this and promised to keep PG up to date and informed with her plans. MEC asked for other future plans, and BS said they are going to take some time to talk things over at the next meeting and really learn what BS wants to do. There may be a brief break over the first two weeks of May as BS has a business trip, as well as going to meet her new grandchild, a first for her. MEC congratulated her on this and asked BS to communicate this to PG, which she promised to do. Should be a good match, and MEC is looking for the pair to get some more outside activites planned.
2018-05-21 Question: Activities: Answer: MEC was able to speak to BS at the St. Paul Saints game and Picnic. It was good to get a chance to meet this match, which is still quite new. MEC asked how things were going, BS said good but that she was disappointed in the rain. BS had just gotten back from a work trip and a vacation, so they had had a brief lull in meetings, but are getting right back at it. BS reiterated the first two meetings that they had done- making slime as well as making cookies. The pair was good to see together, and they looked more natural than one may have expected at first given that both can be a bit more on the quiet side. MEC was able to observe the pair having good conversation, chatting, and looking like they were having an enjoyable time. This was their first meeting outside of LB's house, so overall, good to see them get out and having fun.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had three meetings, looks to be going well, MEC happy to see the engagement.
2018-06-29 Question: Activities: Answer: MEC had a very nice phone call with PG. The pair had a few struggles getting together in the month of June, but really both sides were putting a good effort to get together, things simple did work out. Over the past three weeks, PG had a surgery, a family member had surgery, the family went on vacation for a week and half, so there were some struggles to make times work. The good news, however, is that prior to that, things were going very well and they were getting together with regularity, after the saints game they had met up once more at the end of May. BS has shown a good job of making an effort by having a lot of contact with the family through texts and check ins. BS says that they appreciate this, and that she would like to get back on the contact schedule of meeting weekly starting back in July. As for things that the pair is looking to accomplish over the rest of the summer, BS asked for permission in July to take LS to her farm and show her the animals. MEC gave the okay as long as she acquired PG's permission, something BS said she would do. Other than that, they are signed up for the picnic and are looking forward to attending. MEC promised them it would be a good time and looked forward to meeting them all there.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had some challenges getting together but making an effort, no concerns moving forward, going to BS's house for the first time soon.
2018-07-30 Question: Activities: Answer: Support form gathered at BBBS Summer Picnic. Big: What is the best memory or story you have of your Little? Seeing her riding a horse for the first time. Little: How are you a good friend to your Big? What makes your Big a good friend? I treasure every moment with B_first_name and I make every moment count she have brought me to places that I?ve never been before and she tries to make my dreams come true. Big: What changes have you seen in your Little since you were matched? We are getting to be better friends and share more stories with one another. Little: Are you attending any summer camps, classes, or activities? No Do you need a follow up from Match Engagement to address any questions regarding your match? No. Email from MEC. ?Thank you for attending the picnic! I am so glad you got to go an look forward to seeing your Match at future BBBS events. Please remember if you ever need anything, I am available through call or text at phone_number or by email at email_address. On July 25th, the BBBS Community newsletter for August will be coming out, so look out for that!?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2018-08-23 Question: Activities: Answer: Very nice conversation with BS. The pair had attended the Summer Picnic, and the support form was very positive at that, so getting to check in with BS over the phone was nice. She stated that they had a fun time at the picnic, they tried a lot of activities, and they enjoyed being outside. MEC noted that one of the things they had written down on the form was that they had gone horseback riding at BS's place - MEC asked how it had gone. BS was thrilled to share about it - LS was extremely excited to go, and it was something that they had been talking about sine their match meeting. Everything went very well, and LS had a great time. Relating to safety, BS said that they took proper safety precautions, and everything went well. Additionally, BS organically brought up that while they had a lot of fun, she was aware of the BBBS guidelines for going to Big's homes, and said that they weren?t going to make it too regular of a visit, rather it would be a special visit every now and then to go to the home. MEC congratulated BS on the outing and was glad to hear that things were going well. MEC additionally encouraged BS to encourage the interest that LS had in animals, and thought that it could be developed in other areas outside of directly going to BS?s home. Finally, MEC asked if either of the two had any big plans before school starts - BS said she did not but LS was going to do a short trip with her family before school started up. BS had no other questions or concerns when asked by MEC.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make sure to continue to have safety conversations about visiting BS's home.
2018-09-30 Question: Activities: Answer: MEC was able to get a good check in done with BS, BS says that things are going well in the match, and they seem to be getting comfortable with one another. MEC did review the visits to BS's home, the pair love going there and spending time with BS's animals. BS has done a good job of limiting the trips, additionally she makes sure that there aren't any safety concerns when they are there. When they don't go to the house, they have done some fun crafts projects, they recently made slime which was fun for the pair. MEC asked how the meetings are going now that LS is in school, BS said it wasn't much of an issue. She did not school can be a little tough for LS, but that she tries her best. MEC encouraged her to talk about it with LS and role model positive behaviors, BS said that she would. No other safety concerns or worries from BS.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Pair is doing good, promote BBBS events and review safety policy for going to Big's house.
2018-10-30 Question: Activities: Answer: MEC was able to get a nice check in with BS. BS said that things have been going "well" and they have been getting together regularly. BS stated that they recently got together and went to a science event that BS's work was hosting within the community. MEC asked for BS to share more about what they did at the event, and BS said they made slime, programmed robots, and played with lizards. Overall, it was a good event. MEC asked how the pair is getting along, and BS said "well". MEC asked what the pair was thinking about doing in the future and if they had anything exciting going on, and BS said no, but that they were looking at the BBBS newsletter and calendar for upcoming events. MEC encouraged them to continue to look and shared that he was happy to help give advice if any was wanted or needed. For a safety reminder, MEC shared the BBBS pet policy and gave a reminder to slowly introduce to animals if they ever do.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going well, pair recently went to a BS work event and had fun, will look for the pair at BBBS events.
2018-11-30 Question: Activities: Answer: Good check in with BS. BS aid that the main activities they have done in the past month have been going to LB's house and checking out her animals, and doing arts and crafts at LS's place. BS says things are going well and that communication is going well with PG, which is nice to hear. As always with the match, MEC gave the reminder to have proper animal safety if they are going to be near them at BS's place. MEC asked how the relationship itself was going, and BS said that it was going well and that she knew LS enjoyed their outings. MEC asked if the pair had anything else exciting going on, and BS said not too much. MEC encouraged the pair to review the newsletter and see if there was anything else they were interested in. The pair met MEC at the spring saints game and MEC said that he would be happy to run into them again. No other questions or concerns, match is low key but doing well with one another.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Low key but solid match.
2018-12-12 Question: Activities: Answer: TMEC notes that Tanayszra &amp; B_first_name attended the Winter Picnic in December. They were introduced to a variety of activities such as an art project, service project, scavenger hunt and provided with some food vouchers for completing the support form. Their answers were as follows: 1. LittLe: Was there every an activity you didn't think you'd like that you actually enjoyed once you did it? Explain. Little said, "Yes, I thought that the zoo was gonna be boring just looking at the pumpkin carvings but it was fun and cool!" 2. Big: Does your Little communicate more easily with adults or peers? Why? Big said, "Both-I think-I don't see her often with peers". Little: If you had to eat the same meal for the rest of your life, what food would you choose and why? LIttle said, "Ice cream because it is good and there are plenty of flavors to choose from". 3. As a match, do you and your Little have a New Year's resolution or goal? Explain. They said, "Not yet" 4. The safety policy reminder was about the movie, video games, media, and internet policy. They were able to review and asked if they needed a follow up from Match Engagement to address any questions regarding their match? They responded, "no". TMEC didn't get a chance to speak to them but imagines they had a good time a the Winter Picnic. Based on their answers there are no concerns and no follow up is needed.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match attended the Winter Picnic and requested no follow up conversations.
2019-01-11 No Updates
2019-02-20 Question: Activities: Answer: MEC Introduced himself as new MEC, talked about the change in MEC MEC for some background on the match? BS said they get along really well, she gets a long with PG really well MEC asked if they have had any recent challenges? BS said the weather this winter has been challenging but they are working through it MEC asked how is communication? BS said she talks with PG on the regular basis- match is good MEC asked if they have any outings planned? BS said they have done some of BBBS bigger events, plan on attending more MEC asked if little is involved in any winter activities? BS said not that she is aware of, little is really into art MEC asked for any other updates? BS said recently little moved from a school environment to homeschooling- little had been getting bullied at school so this has been a change for the family BS said they talk about bullying and keeps little positive and it hasn't affected their relationship! BS had no other questions or concerns! MEC reminded of monthly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gets along really well, BS likes to attend BBBS bigger events with little!
2019-03-21 1. How many times did you get together with your little in February? I think only once due to my travel and weather. I text and talk with her mom more often. 2. What areas would you like to help your little grow in? She is very passionate about art. I would like to help her with that and explore some opportunities like ?Dare to Dream? 3. Do you feel that your match relationship continues to develop? Why? Absolutely. We are well matched and enjoy each other?s company. She is very creative and so am I. 4. How would you describe your overall mentoring experience? What has surprised you the most about being a Big? It is wonderful. It makes me feel good. I have actually developed a relationship with her whole family. 5. Do you have anything else you would like to discuss? Do you have any personal updates or questions? Upcoming Activities: March 30th: Match Wellness Workshop *Please see the attached document for a reminder of our policies / guideli nes Thank you! Take care,
2019-04-16 Match Anniversary: Reflection What is your favorite part of your match? or what makes your match special? Big: L_first_name is lots of fun to be with. She is a great artist and good story teller Little: B_first_name is fun and wise, she is truly a child at heart I admire her as my big she makes me smile What changes have you notices in yourself since being friends with your little/big? Big: I have enjoyed getting to know my little's family. I think about them and try to be helpful in small ways. I have gotten my friends and family involved too. Little: I have been more confident in myself as a person she makes, me smile and I stress less because of it What are 2-3 free or low cost activities you enjoyed together and would recommend to other Matches? We went to a horse show We made slime together We go to thrift stores looking for good deals
2019-05-14 1.Big: What are three activities you hope to do this Summer with your little? Swim and fish at the lake, go to the children Museum, hang out in general, take a mini vacation 2.Little: What is the most exciting thing you are doing this summer? Go to a water park 3.Big: How long are your outings usually? How many hours did you spend together last month? 2-3 hours , 8-10 hours 4.Little: What was the last activity you did together? How would you rate it on a scale 1 to 10? We went to Mother's Day brunch, 10 Child Safety Reminder: Do you need a follow up from MEC? No Please Circle how you felt about the activity and let us know if you have any feedback: Big-First smiley face , Little: Second Smiley face
2019-12-19 When MEC asked how things have been with the match, BS said that things have been pretty good. BS stated that LS is 13 and currently having problems with school because she is frequently late and misses the bus often. BS acknowledged that BS would also rather do art than school work because it's what she loves. BS stated that she has a good relationship with PG. Reflecting on the overview of teen programming, BS acknowledged that there are a lot of STEM opportunities , but none for artistic interests. TPC told BS that while we don't have any direct connections to artistic institutions, TPC encouraged BS and LS to visit spaces of LS's interest while taking advantage of college prep opportunities with BBBS. TPC also told BS about the Early Scholarship Program and told BS that she would circle back when applications open.
2020-05-29 TPC interacted with BS VERY briefly via text. TPC asked BS how things have been with LS during pandemic, and BS stated that she has communicated more with PG than LS during the pandemic, but things are going okay. When TPC followed up on previous conversations about LS recent diagnosis and if she's felt a greater impact during pandemic, BS never responded.
2020-10-28 BS is out of town visiting family. Her friends/family are safe and healthy. Match isn't meeting up very often but they have seen each other a few times in the last couple of months. They've gone to Dairy Queen and shopping. LS has been diagnosed with bipolar disorder LS has mood swings LS has had trouble in school but things seem to be going better now LS has a counselor at school who supports her PG can get frustrated with how the school handles LS' diagnosis BS and PG communicate well Sometimes LS' siblings tag along (we discussed why this is not ideal and I encouraged BS to talk with PG about getting the sibling signed up with BBBS so she could have her own Big) PG was going back to school for project management supervisor training but BS is unsure what her employment situation currently is BS has been out of town quite a bit over the summer College and Career Readiness LS doesn't like school but she is a really good artist They've talked about developing skills outside of school. I suggested a care package of art activities and supplies using her usual meetup budget. BS seemed to think this was a good idea. No other questions or concerns at this time
2021-03-18 BS reports that life is going well. No big changes or updates. BS reports the match has been going well overall. They are seeing each less often, but fairly consistently. PC said that oftentimes, consistency can be a better sign of the health of a match over frequency. LS recently got a phone, but doesn't respond reliably. PC encouraged BS to keep working directly with PG or engage in a 3 way text so that PG can hold LS BS and LS have been talking on the phone pretty regularly. H omeschooling has been hard for LS but she is doing okay. LS' little sister has been having a much harder time with homeschooling. PG got a new job. Talked CCR: LS showed BS her art. BS said LS is really talented. PC encouraged BS to talk with LS about art classes at school and in the community. BS mentioned that LS doesn't have as much fun in classes because she feels confined by the assignments LS was having episodes of depression at the beginning of quarantine. BS thinks she is on medication and receiving professional help. PC shared more information about the BBBS newsletter and BBBS programming No other questions or concerns at this time
2021-06-27 BBBS June 2021 Check In Form Please provide your full name and any recent updates to your contact info (phone #, email, street address) * B_first_name B_last_name How many times have you met up (virtually or in-person) with your Little since your last check in? Give your best estimate * Maybe 3 How many hours do you typically spend together? * 1-2 What activities (virtual or in-person) have you been doing? Please describe any recent highlights or challenges? * Mostly talking about art and family Please describe how your conversations have been going recently. What do you usually talk about? Have there been any significant changes in your lives? * No big changes. Her sister is gone for the summer. Her mom is working full time. Have you ever played a game with your Little? If so, what are your favorites? * No Are there any games that you hope to play with your Little in the future? Please describe below * Yes. Sequence and hearts Have you and your Little ever worked on a project or task together? If so, what did you work on and how did it go? * Yes. Art projects and crafts Are there any projects that you hope to complete with your Little in the future? Please describe below * Yes. More art projects and crafts. Do you need any support from me (your Program Coordinator) to brainstorm new games or projects for your match? If so, how can I help? * No Has your Little recently expressed what they're considering when it comes to life after high school? Is there anything they are passionate about? * Passionate about art/drawing How can you help your Little learn more about college and careers? Do you need additional support from your coordinator with this? * Not at this time. Have you recently discussed your plan or specific rules for safe in person meetups with your Little's parent/guardian? If so, please give me an update: * I talked to Jovan on a regular basis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 * We are good
2022-02-11 I called BS after receiving negative and concerning feedback from PG and LS. I shared a summary of the very long conversation I had with PG and LS during which they repeatedly affirmed their desire to end the match as soon as possible. Their justification was complex but centered around a few things: lack of a strong connection -- PG and LS both expressed that the bond between LS and BS isn't very strong. They don't have a deep bond erosion of trust -- PG and LS feel like they cannot count on BS to accommodate their needs and adhere to BBBS guidelines. They accuse her of things like inviting other people to attend meetups without informing them, not driving safely, and using guilt or shame to make LS feel bad about missing meetups or not wanting to do certain activities clash of personalities -- PG and LS both expressed that BS can be controlling and judgmental. They said BS would use guilt to manipulate LS into doing activities she wasn't interested in, cast judgment on their lifestyle, and disrespect their boundaries (e.x. entering their home uninvited during pick up/drop off and making comments about cleanliness). PG and LS also referenced alleged behavior in PG's personal life, accusing her of being a "stalker" whose ex-husband put a restraining order out on her. LS expressed fear that BS would "show up at their house" after closure, however, PG did not share the same concern. failure to adhere to the BBBS policy of 1-1 meetups -- PG and LS indicated that BS would frequently have other family members present during their meetups. BS' son was brought up a few times as someone who was around often. BS' son is an "adult," which made PG especially concerned. using guilt to emotionally manipulate -- as noted above, PG and LS said that BS would hold things like the cost of a ticket for an event over LS' head and make her feel bad for not wanting to go or not being able to go issues with planning and communication -- PG believes that PG has "a lot going on in her life" that have led to poor communication and inconsistent meetups. inability to accommodate LS' mental health -- as noted above, PG and LS expressed that BS would not accommodate LS' mental health needs during certain meetups. From what I have been told, LS suffers from social anxiety and some form of bipolar disorcer. They repeatedly mentioned LS' social anxiety around groups of people, especially new people. The "last straw," as PG put it, was a recent outing to the zoo. PG and LS were under the impression that the meeting would be 1-1 and they were surprised and upset to learn that members of BS' family were meeting them there. While at the zoo, LS' social anxiety was triggered and she desired to leave. LS claimed that she asked BS to take her home during their meetup. BS was allegedly insistent that LS should stay and used language that felt manipulative. PG and LS shared that this was same type of guilt tripping that was pervasive in the relationship for a very long time (e.x. BS would hold the price of admission or the logistical effort she had to invest into an activity as a means to make LS feel bad for not wanting to do an activity). LS claimed that she reached out to PG via SMS while they were at the zoo and asked PG to convince BS to take her home. PG and LS believe that BS ignored PG's outreach and coerced LS into staying the whole time. PG claimed to reach out to another family member/family friend to have them pick her up from the zoo as well. PG and LS claim that LS had a panic attack when she returned home from the zoo. PG and LS feel like this incident pushed the relationship past the point of repair. They no longer feel like they can trust BS to take care of LS and be responsive to her needs. PG also feels like LS has grown a lot and has a much stronger support system around her than she did when the match was introduced. They accuse BS of being controlling (using guilt on LS), inconsistent with meetups (changing plans last second), and judgmental of their lifestyle (making comments about the cleanliness of their home and LS contributions to household chores). PG made comments that BS "has a lot going on in her personal life" and doesn't handle rejection well. PG and LS also shared that BS would get into arguments with her son in front of LS and these made LS uncomfortable. PG is especially concerned that BS' son is around sometimes because he is an adult (age unknown). LS' concern about BS' family being around centered more around feeling left out, but not necessarily threatened or unsafe. The legitimate safety issue LS is more concerned with is mental/emotional, as she struggles to be around too many people, especially those she doesn't know very well. LS also accused BS of inattentive driving (texting) and veering out of the lane. LS no longer looks forward to seeing BS and would like to close the match. After sharing this information, BS immediately expressed that she was surprised, perhaps even shocked, to learn that PG and LS were feeling this way. BS shared that they had not been meeting up very much recently and that these concerns had never been brought to her attention during the 3.5 years they were together. BS said that they had visited the zoo before and there were no issues. BS shared that the family would send LS' brother along on meetups on multiple occasions. In fact, LS' brother was tagging along on their last meetup at the zoo (a pretty significant fact that PG and LS failed to disclose to me). BS said that their families have had multiple interactions and she never sensed there were any issues or discomfort. BS did not realize the trip to the zoo was so "problematic" and wishes that PG would have reached out to her directly before choosing to close the match. BS' side of the story is that she already had plans to go to the zoo with members of her own family. She ended up with extra tickets and reached out to PG and LS to see if LS would like to tag along. BS admitted that she is unsure whether she told the family that her family would be attending. BS was supposed to pick up LS at 10am but PG wasn?t home. BS picked up PG from work to go pick up LS. BS son drove BS and LS to the zoo (unsure whether BS' son was driving to transport PG from work). BS said that LS has met her son more than once and the family never expressed any concerns about him or their relationship (specifically, the alleged arguments). BS sensed that LS was losing interest at the zoo and not having a very good time. BS claimed that she was in contact with PG via SMS while they were at the zoo and refuted that she ignored PG's outreach. BS shared that LS would often have sudden mood swings and lose interest in activities that she had willingly agreed to take part in. BS said that this was a very common issue in their relationship that she has regularly discussed with PG. BS has been aware of LS' mental health challenges (bipolar disorder and social anxiety) and has requested PG's support several times on how to best support LS. (previous MSC's support these claims) BS said that she is often faced with the conundrum of encouraging LS to "push through" and stay engaged with an activity vs. taking her home and potentially missing a fun opportunity. BS said that this trip to the zoo was one of those cases. BS reaffirmed that she has spoken with PG about this multiple times in the past and requested her guidance and support. BS expressed a deep sadness and remorse for anything she may have done to cause harm in the relationship. She also expressed frustration, rooted in confusion, and again wished that PG would have said something to her before choosing to close. BS said that she has received a "polar opposite" impression from the family about how things were going. BS feels like the family has withheld a lot of important information from her that would have been helpful. BS respects that the famil</t>
  </si>
  <si>
    <t>2020-01-10 Match attended January MCP. Matches focused on learning about themselves and their relationships, as well as getting to know the other matches there. Between the group question ball, friendship values craft, and the diary/scrapbook, matches were talking about ways to celebrate their relationships.
2020-01-14 BS reports the match is off to a good start and they are meeting up consistently. BS feels the relationship is developing slowly but LS is starting to open up more. She understands this is normal and will take time to reach a deeper level. Went to the library for their first meetup to do a craft. Second, they went to an Italian restaurant and LS made balloon animals for her. Third, they went to a MCP and LS said it was nice to see other matches. LS is quiet and reserved so PG is going to help LS make a list of things she wants to do. PG comms are very good and they are having face to face check ins. Big App is up and running. Reviewed child safety policy and emergency contact Pushed BBBS events
2020-02-07 February Online Check In Form Please provide a brief update of your match. What activities have you been doing? What's new and exciting? Have you faced any challenges? REFLECT &amp; SHARE: * We matched in December and we have met up 5 times since then. We have done everything from arts and crafts to swimming. L_first_name is opening up to me a little more each time so it is very exciting for me to see progress in that realm. We have not encountered any challenges thus far.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How do you personally model expressing care when you?re with your Little? * I model care by asking question and listening to L_first_name--whether that be about school, sports, home, along with asking questions about past events she's done. Along with asking questions and showing interest in her life I do my best to show her and illustrate that I am listening to her and I do care about what she has to say along with her opinions. How does your Little express care in the relationship? Is their approach different than your own? * I think she expresses she cares a little different than myself as she has not really asked about anything in my personal life/does not ask me questions in general. However-- she is getting more outgoing each time we meet so that gives me a belief that she is starting to trust me and wants to hangout with me. Please describe any recent significant changes in the lives of your Little and their family (moving, new phone #, death/illness, new job schedule, etc.)? Do you anticipate any challenges for your Little or their family as we approach winter? * I do not anticipate any challenges If you feel comfortable sharing, please describe any recent significant changes in your life? Have you shared this with your Little and their Parent/Guardian? * As of now I have not had any recent life changes. Have you had any issues with communication, planning activities, or budgeting with your Little's Parent/Guardian? If so, please describe. * No! Child Safety Policy Review: Illness and Injury I have read and fully understand the above child safety policies Mentoring can be hard work! Is there any way I can help make your match more successful? This form will count as your monthly support check-in. If you would like to schedule a follow-up phone conversation, please use this link to schedule a call : ( ) As of now no! Thank you
2020-03-04 BBBS March 2020 Check In Form Please provide a brief update of your match. What activities have you been doing? What's new and exciting? Have you faced any challenges? REFLECT &amp; SHARE: * We were not able to meet up in the month of February. I was sick with a cold for over a week and then days later got the flu which led me to stay home for over a week. With being sick I did not want to expose any of L_first_name's family members along with L_first_name herself. I tried to reach out at the end of the month--however, L_first_name was going on a trip so we planned to catch up once she returns. Challenging growth focuses on the ways we encourage, inspire, push, or otherwise influence each other to try new things, take risks, pursue goals, or overcome obstacles and challenges. Successful matches use a caring and supportive approach, grounded in trust, to explore new or existing interests and maximize each other's abilities. If you're at the beginning of your relationship, it may not be the best time to push each other too hard or get too far out of each other's comfort zones. Instead, ask questions to learn more about each other's interests, abilities, and motivations. Develop trust with open and honest communication. Actions you can take: Share power in making decisions for where you go or what you do for your outings Encourage each other to try something new, develop a skill, or gain knowledge in a subject that interests you Set goals and hold each other accountable Acknowledge and celebrate the obstacles or challenges each of you have overcome Based on the description above, how do you challenge your Little to grow? Share a specific example if you can. * With L_first_name and I only knowing each other for a couple of months-- I do not push her too far out of her comfort zone. If she does not feel comfortable to share, I usually tell her its okay if she doesn't want to share and direct her to a different topic/question. How has your Little challenged you to grow? Share a specific example if you can. * She has challenged me in a different way. I am the type of individual who likes to push people to go outside of their comfort zones, along with to be the best person they can be and to take jumps and leaps. L_first_name is only 10 and while she has opened up to me, she is more of a reserve individual which has challenged me to take a step back and to find other ways I can help her grow as an individual without being too "pushy". Please describe any recent significant changes in the lives of your Little and their family (moving, new phone #, illness/death, new job schedule, etc.)? * n/a If you feel comfortable sharing, please describe any recent significant changes in your life? Have you shared this with your Little and their Parent/Guardian? * One of my sister's close friends passed away a week and a half ago which lead me to go home and spend time with my sister. I informed Cheryl as it also contributed to me not being able to spend time with L_first_name this month. Have you had any issues with communication, planning activities, or budgeting with your Little and their Parent/Guardian? If so, please describe. * N/A. Safety Policy Review Riding in Motor Vehicles and Supervision: When riding in or operating motor vehicles: General safety rules must be followed, including wearing seat belts, helmets, and life preservers. Connect with parent/guardian about whether they should sit in the front or back seat of the car. Supervision of Little: Bigs are responsible for the supervision of Littles at all times during a match activity, so do not leave them alone or with someone else. Mentoring can be hard work! Is there any way I can help make your match more successful? This form will count as your monthly support check-in. If you would like to schedule a follow-up phone conversation, please use this link to schedule a call : ( )
2020-04-23 April Online Check In Form Please provide a brief update of your match. What activities have you been doing? Have you faced any challenges with connecting remotely? REFLECT &amp; SHARE: * We have not been able to meet with the restrictions put in place because of COVID-19. However, I recently sent out a letter to her that way we are able to still stay in touch in a fun way. We also are finding times to FaceTime one another. Are you and your family safe and healthy? Do you feel like you have enough resources to get through the quarantine? Is there anything you are particularly concerned about that I can support you and your family with? * I feel like I am very healthy and safe while still working at the hospital during this time. I do not think there is anything I need. Has the virus quarantine affected your employment? Do you work in a "critical sector" like healthcare, childcare, grocery store/food delivery, etc.? Are you facing any financial challenges that I can support you and your family with? * at this time my family has not had employment issues. Both my wife and I are able to work from home. Have you been able to connect with your Little's Parent/Guardian since the quarantine started? Have you had a chance to connect directly with your Little over the phone, internet, or mail? What sort of activities can you do remotely? * Text only thus far. Is your Little and their family facing any challenges related to the virus quarantine? Is there anything I can do to support them? * Not that has been reported to me. Have you had any issues with communication, planning activities, or budgeting with your Little and their Parent/Guardian? If so, please describe. * No Safety Policy Review - COVID-19 basics from the CDC website Mentoring can be hard work! Is there any way I can help make your match more successful? This form will count as your monthly support check-in. If you would like to schedule a follow-up phone conversation, please use this link to schedule a call : ( ) I appreciate the remote activity ideas - please continue to share these.
2020-06-08 BS said she is doing well and the George Floyd events didn't really affect her or her friends/family. MEC encouraged BS to talk to PG about the issue so they are on the same page in providing support to LS, who may have thoughts she'd like to process or questions about what happened. BS agreed and will do so. BS wrote LS a letter and sent her a craft kit last month They've been texting back and forth since then Next, BS is planning on going to LS' surprise drive by graduation (5th grade) MEC encouraged BS to talk about transition to middle school with LS and to share some of her own positive/negative experiences. MEC informed BS of the next phase of advisement on in person meetups No other questions or concerns at this time
2020-07-30 BBBS July 2020 Check In Form REFLECT &amp; SHARE: Please provide a brief update of your match. What activities (virtual or in-person) have you been doing? Please describe any recent highlights or challenges? * Since the last time we chatted?I was able to see her for her drive by 5th grade graduation party (I cannot remember when as the weeks blurr together). I have not been in contact recently but wanted to give an update on my living situation but I did want to hear back from you to make sure everything is still good to go. Like I mentioned before?I had to move kind of last minute because of everything happening and financial reasons I was able to find an apartment that fit where I was and my hours at work were being cut so I didn?t want to get an apartment I may not be able to afford months from now. With that being said I still am coming to the cities to work every other weekend and am staying at a friends house during this time and still will be able to plan meet ups with L_first_name. Like I said I didn?t tell her yet or Cheryl just because I wanted to make sure this was still OK. Whether you've been meeting up with your Little in person or virtually, please describe how your conversations have been going recently. What do you usually talk about? Has there been any significant change in their life, interests, or personality? * I have not been able to reach out recently as life has been sort of crazy with moving and my sister getting COVID but I do plan too in the near future! What sort of activities have you been doing this summer (virtually or in person)? Have any ideas been particularly successful or challenging? Have you had a chance to try anything new or interesting? * I have not been able to try anything new but I have been able to read a lot more which I enjoy! Have you had a chance to discuss a plan for safe in person meetups (now or in the future) with your Little's parent/guardian? If so, please describe. n/a Have you had any issues with communication, planning activities, or budgeting with your Little and their Parent/Guardian? If so, please describe. * We have not been meeting up just because we were not sure about the BBBS policy as we had the initial email to suspend all meet ups but we weren?t aware we were able to get back together so I will have to reach out! COVID-19 basics from the CDC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
2020-08-10 MEC introduced herself as the new Match Coordinator and was able to connect with Sieirra via phone after she reviewed the email. MEC offered a variety of activity ideas/resources and encouraged her to reach out. MEC asked for updates. She said, ?I moved. I still worked at Masonic Children?s but my hours were cut. I was living with 2 college roommates for a while and wasn?t able to stay living in the twin cities. I am now living with my sister in Sartell? MEC asked if she has been in communication with Cheryl at all. She said, ?I did tell Cheryl and was going to reach out to her again and see if we can go from there. MEC asked if they have discussed in person meetings. She said they have not. MEC reviewed the safety precautions for in person meetings during COVID. MEC asked her to sign the waiver which she agreed to do. She noted, ?With the move and everything, I reached out to her a week or two ago. Cheryl didn?t respond. I was going to reach out again this week and see if Thursday if we can go for a walk.? B_first_name updated MEC with a text message saying they connected and plan to go for a walk on Thursday. MEC asked if she and L_first_name have been in communication at all. She said, ?We met for an outdoor in June or beginning of July. They did the drive by 5 th grade graduation. L_first_name sometimes texts me from her mom?s phone.? MEC inquired if they talked about the aftermath of George Floyd at all. She said they hadn?t but she did discuss what to do with the previous coordinator. She said he sent quite a few resources for this and encouraged her to see if L_first_name brings it up AND to connect with Cheryl about it.
2020-09-21 MEC reached out via email sharing BBBS News, BBBS Match Portal Activity highlights, and the in person meeting guidelines. MEC provided the option to check in electronically or via phone. B_first_name completed the google form check in online. See below responses: Timestamp 9/20/2020 15:47:12 Email Address email_address Please enter your first and last name. B_first_name B_last_name Share some examples of what your match has enjoyed doing virtually with one another. (If your match is not meeting virtually, please simply state that) We have not met "virtually" yet. What are the components of your culture that are most important to you? How might these play a role in your match relationship? I believe religion and education are the components of culture that are the most important for myself. I have never discussed religious beliefs with my little, however, I do know her and her family go to church and have bible studies that L_first_name attends. Having this similar upbringing with my own family allows me to understand the importance that these bible groups play on her development and her beliefs. Mentoring can be hard work! Is there any way I can help make your match more successful? At this point no! This form will count as your monthly support check in. If you would like to schedule a follow up phone conversation, please use this link to schedule a call- ( Thank you.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have went for a walk around her neighborhood. MEC responded via email, "Hello B_first_name, Thank you for checking in. I hope all is well in Sartell with your sister. Is there something I can do to help you get connected virtually? We have put together some 2 minute videos to help support matches. Virtual Meeting Basics for Bigs: Staying Connected Virtually Please let me know if you have any questions or concerns. Thanks, Jeanna"
2020-10-27 MEC reached out to Bigs with a mass email outlining the revised in person meeting policy during COVID times. This revision included riding in vehicles together and the precautions outlined to do so. MEC also connected matches to a variety of activity ideas form the BBBS Newsletter, the Match Portal and the BBBS Blog. MEC requested a check in either via google form, schedule a time via acuity or give MEC a call. B_first_name responded via the online check in. Timestamp 10/19/2020 18:51:11 Email Address email_address Please enter your first and last name. B_first_name B_last_name With your best guess, how many hours did you spend with your Little this last month? (either virtually or in person) We did not meet Share some examples of what your match has enjoyed doing virtually with one another. (If your match is not meeting virtually, please simply state that) We have not met virtually. I have offered to meet via FaceTime, however, have not been able to plan/get a time that would work as my little does not have a phone and she would need to use her moms. Which of these characteristics do you find yourself incorporating the most in your match? How do you personally model expressing care when you?re with your Little? I believe that when interacting with my match I am warm along with genuinely listening to L_first_name. I frequently ask her about things she has mentioned to me previously and see how these things went (sleepovers with friends, activities with school, and sports). I also encourage her with things that I learn she has done or accomplished and do my best to make her feel valued. How does your Little express care in the relationship? Is their approach different than your own? My little is young (6th grade) and with this relationship she is very shy at first, however, I feel like her personality is very warm. She is a bubbly 6th grader who goes with the flow and our conversations vary time to time but she does listen and shows she is listening by responding or non verbal cues which make me feel heard. Our In Person Meeting Guidelines (due to COVID) have changed recently. A more formal communication &amp; resources has been emailed to all participants. You may review the guidelines on our website - Do you have any questions or concerns? How do you see this impacting your match? It might be a little challenging with it starting to become cold and having all of the windows down for me driving her (however I am not opposed). I know L_first_name's mom is very busy and has another younger son so it might be hard if she had to drop L_first_name off places, however, this is something that Cheryl and I can discuss further. Mentoring can be hard work! Is there any way I can help make your match more successful? It has been a little challenging to connect (whether that be virtually or in person) and I believe Cheryl has a lot going on right now so I do not want to make this an added stress. I would like to maybe suggest other virtual ideas but do not really have any things in mind. Any suggestions would be great help as I don't really know of any activities we can do other than FaceTime and sometimes it is hard to keep L_first_name engaged in a conversation. This form will count as your monthly support check in. If you would like to schedule a follow up phone conversation, please use this link to schedule a call- ( Thank you! MEC responded to B_first_name via email, "Hello B_first_name, Thanks for the update on your match that you submitted using the online check ins. I'm sorry to hear that it's been difficult to schedule a time with L_first_name. I realize that matches struggle a bit more when they have to use a parent phone for your check ins. Do you think it's an option to use her school device? Sometimes it's' work, but it depends. I'm guessing she likely has one, but not sure. In response to your questions regarding Virtual Match Activities, please make sure to review the newsletter that you should be getting at the beginning of each month. There are always a lot of activity ideas in there. If you haven't seen the newsletter, I encourage you to check your "promotions" or spam mail. It's likely there somewhere! Also, we have a BBBS Virtual Mentoring Portal that you can access from our main website bigstwincities.org under the "Bigs Only" tab you'll see a drop down menu and a virtual mentoring option. Click on this and it will take you to a new google site we create for virtual mentoring. I hope this helps! Let me know if you have any other questions and keep in touch as able. Thanks, Jeanna"
2020-11-24 MEC reached out to ALL BIGS via email blast inviting them to attend the Virtual Bigs Hang Out. This communication linked to the November Newsletter, COVID In Person Meeting Guidelines, the BBBS Mentoring Portal and November Event registrations. MEC also included some resources for Little's families. This Big responded via google check in as follows. Timestamp 11/24/2020 10:00:05 Email Address email_address Please enter your first and last name. B_first_name B_last_name With your best guess, how many hours did you spend with your Little this last month through video call, text, or phone conversation? 1-2 With your best guess, how many hours did you spend with your Little this last month through in person meetings? We did not meet in person last month. Every match is unique in it's strengths &amp; challenges. Do your best to implement the following tips for a video call with your Little. (Check off the tips if you think the tip has worked or might work for your match). If you haven't tried a video call yet, please try to develop that ability. Most kids need to do 20-30 minutes of daily reading. Is there a book you can read together?, Find our what your Little's academic needs are. Would they like help with an assignment?, Mail your Little a follow note &amp; small item that relates to your activity conversation Which of these characteristics do you find yourself incorporating the most in your match? How do you balance challenging growth with expressing care, sharing power, expanding possibilities, and providing support? I think I incorporate stretch the most in my match. Throughout my interactions with my little I am always trying to push her to think along with reflect a little deeper in what I am asking or in her responses. I always do my best to let L_first_name know that I care about her and that if she ever needs anything that I am always available to listen and be there for her. BBBS has, on many occasions, communicated our In Person Meeting Safety Guidelines that are also located in our Big Blog. Below are some highlights! Meeting in person is NOT required. Please check off the guidelines as you read them. I know where to check the blog at Bigstwincities.org, I have access to updates via the Big App Is there anything you would like more guidance or ideas from your Match Engagement Coordinator about? As of now--no! Thank you! This form will count as your monthly support check in. If you would like to schedule a follow up phone conversation, please use this link to schedule a call- ( MEC responded via email to B_first_name, "Hello B_first_name, Thank you for completing the online check in. I just reviewed your responses and am glad to hear of your continued connection with L_first_name. Stretching L_first_name while expressing care and being consistent in her life is an important combination in the developmental relationships. Thank you for the thoughtfulness in your connection with her! I see you know where to find the updates regarding activities. Please feel free to reach out as needed and I wish you a very happy holidays. Jeanna"
2021-01-07 MEC reached out to B_first_name multiple times: Happy Holidays To You! One last push to have a lite check in! How?s your match going / Share what you?ve been up to.. Do you have any questions or concerns? I wanted to share that our in person meeting guidelines were updated last week after the Governor?s announcement. It's up to each match to discuss their preferences around meeting up in person. Here is the link: Dec 16, 2020 Updated COVID In Person Meeting Guidelines . Winter Activity List: Please reach out as needed. Happy Holidays! Be well and take care, Jeanna JEANNA VAZQUEZ Sr. Match Engagement Coordinator Big Brothers Big Sisters Twin Cities email_address SIERRA RESPONDED TO MEC: Jeanna, Happy Holidays to you as well! I am sorry that I did not reach out to you it just has been a crazy few weeks and I glossed over it in my emails. To respond to your check in: I think our match is going great (for the circumstances that we have been challenged with this year). Like I mentioned at that last check in L_first_name just got a phone so I have been reaching out though via text and asking her about school, holiday plans, along with other things. I also have touched base with Cheryl to see how things are going. With myself having COVID at the end of Nov./beginning of Dec. we were wanting to push back in person meetings just because up until this week I was showing symptoms and I just would rather be safe than sorry. I have one question to you and I do not know if Cheryl reached out to you because she was not sure when I last touched in with her but I did get accepted to medical school and I will be moving to CO come May/June. I do not have a set date yet for me moving but I wasn't really sure what our next steps would be moving forward. Again--this would probably depend on what Cheryl &amp; L_first_name would like to do but I do not really know how to go about it. I still want to be L_first_name's big and want to be that mentor for her as long as I can but I understand as well if she was wanting to try to be matched with someone else. I do not know what Cheryl's plan is but we just both thought to as you and see what you think would be best. I appreciate all of your help and feedback. I hope you have a great holiday and stay safe! Best, B_first_name B_last_name MEC RESPONDED VIA EMAIL: ? Hello B_first_name, Thank you for responding to my email. I have been out of the office for a bit so it has taken me a little while to get back. I appreciate your communication with Cheryl &amp; I regarding the move. Congratulations on being accepted to Medical School! That is so exciting, but I imagine you're feeling a little nervous as well! A few things to consider. If your match closes, any contact would no longer be through BBBS but it would be up to you how you'd like to go about staying connected if you chose to. It is certainly an option to stay matched if you think you'll be able to maintain some level of contact virtually while you are away. (I imagine that may be difficult but I have had Bigs in medical school before. It is not a 100% that L_first_name would get a new Big Sister. I think it's pretty likely though. What does L_first_name want? Have you discussed it with her yet? How I can help. If you choose to stay matched but want to "Redefine" your match, I encourage you to check out this resource I made. Redefining Your Match . Redefinition is a positive &amp; mutually agreed upon process that can help Bigs &amp; Littles/Families strengthen &amp; build their relationships. It can take on two forms. Rejuvenation - Recommitting without changing the terms. Renegotiation - Changing the responsibilities or terms in some way. I encourage you to discuss with L_first_name and give her some options that you think are realistic and feasible for you. You can also ask Cheryl to talk to her. The two of you can decide together what approach you would like to take. I can also talk to her if you'd like. I wanted to share that our in person meeting guidelines were updated last week after the Governor?s announcement. It's up to each match to discuss their preferences around meeting up in person. Here is the link: Dec 16, 2020 Updated COVID In Person Meeting Guidelines . Winter Activity List: Please reach out as needed. Happy New Year &amp; National Mentoring Month! PLEASE NOTE: My work cell phone number has changed. It is now phone_number Please let me know if you have any other questions and please keep me posted. Thank you!
2021-03-23 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B_first_name emailed MEC: Good Afternoon Jeanna, I know I emailed you a few weeks or months back letting you know that I was going to be moving to CO and starting medical school in July but I just wanted to update you a little bit and ask for your opinion on things. I do not know the process on things and so I figured to start thinking about the next few months sooner rather than later. I did inform Cheryl in Dec. that I would be moving and we did discuss having L_first_name &amp; I staying pen pals along with staying in touch as much as we could. I did just finalize a lease in Parker CO so I will be moving to my new home on May 26th. I wanted to reach out to Cheryl to inform her on everything and touch base with what she was planning to do with L_first_name (whether that be to have her in the program applying for another big or what her thoughts were)--however L_first_name told me early last week that her mom was just getting back from the hospital as she ended up having COVID and I did not want to really bug her while she is still resting and healing as I know how much of a toll it does take on the body. She told me she was going to reach out to you but I am not sure if she did. If L_first_name does want to be placed with another Big is there something I need to do so she is able to do that and if so is it Cheryl needing to reach out to you or will you reach out to her? I know that it does take some time to match littles and bigs and I am just thinking about the summer and how it would be nice if she does want another big to do some fun summer activities as it has been a whirlwind of a year. I feel like I am blabbing on I just have not had to navigate this situation before and don't want it to seem like I am just walking out of L_first_name and Cheryl's life. I look forward hearing back from you, B_first_name B_last_name MEC responded via email: Hello B_first_name, Congrats again on starting med school! I'm glad to hear things are coming into place for you and you've been able to sign your lease. Sorry to hear that L_first_name's mom has been in the hospital with COVID. It can be scary stuff. How does L_first_name seem to be coping with this? I have not talked to L_first_name or Cheryl about the move. Last I spoke with L_first_name we did the Mentoring Month ACtivity over zoom in January. Did you get that? In response to your questions about her being rematched you can tell her it might be an option and I will connect with her about this. I would like you to focus on providing some healthy closure for your match. Take some time to plan a final meeting (whether virtual or in person), talk about what you enjoyed about the match and reflect together on the time spent. Let me know when you plan to finalize the closure and I will follow up about her going through a short reassessment process for a possible 2nd match. Our waitlist is fairly small so I wouldn't worry too</t>
  </si>
  <si>
    <t>2021-04-27 Match registered for BBBS event: City T(our) Challenge at Minnehaha Falls hosted on 4/24/2021. Attended No First Name B_first_name Last Name B_last_name Email email_address Little L_first_name L_last_name How does your match decide what to do, and what events or activities do most like to do together? We have only met once, but we like to do outdoor activities. How does you Little share their opinions, likes, and dislikes? He is not shy about being bored with an activity or what he wants to do. How many times have you connected with your Little (in-person or virtually) since your last contact? 1 How many hours does you match usually spend together? 2-3 hours Child Safety Policy Reminder- Sickness &amp;amp; Injury accepted This registration counts as your required monthly/quarterly contact with BBBS. Do you need a follow up from your Match Engagement Coordinator to address any questions regarding your match Yes, but it's not urget. MEC followed up with everyone in the match via email: Greetings Aminah, L_first_name, &amp; B_first_name, I noticed that L_first_name and B_first_name were unable to attend the BBBS event: T(OUR) City Challenge at Minnehaha Falls this past weekend and I hope the match will be able to join one of our other upcoming BBBS events, please check out our BBBS April Newsletters for our upcoming virtual and in-person events that may be of interest as well as tons of other information?below are both the April Newsletters: · BBBS Bigs April Newsletter · BBBS Parents/Caregivers April Newsletter Please reach out as needed! Happy Tuesday! :)
2021-05-31 MEC reached out to all Bigs via email with a variety of communications. Options to check in were given, including drop in virtual time, phone or setting up a meeting option, online survey, and texting and email options. On 5/29/2021 MEC was able to reach Big via phone call and asked the following: · Give me one word that describes how your heart is doing today. How?s the match doing? · How would you describe your Little?s personal boundaries? · What are some of your favorite and least favorite things to do with your Little? · How does your Little interact with other children? How do they interact with adults they have never met? Has your Little mentioned being bullied or teased at school? · What kinds of activities would you like to see offered by BBBS? · What questions or concerns do you have for me? Pam stated that she was on her way to drop off L_first_namel at his home. The match attended TCC at the state capital today. The match is doing well and Pam had no questions or concerns for MEC. LB L_first_name chimed in and said that he is really appreciative of the match and had a lot of fun at the state capital.
2021-06-11 Match attended an in-person BBBS event Tour City Challenge at the State Capital and completed the in-person SCF: BBBS Question for Both: Is it easy for you to share your opinions or feelings with others? Who are people that you feel most comfortable sharing with Match responded: ?sometimes it?s hard but it depends how we?re feeling. Best/easiest with people we trust.? BBBS Question for Little: Today you learned a lot about MN hstory, what was the most interesting or shocking thing you saw today? How did it make you feel? Little Responded: ?Learned about the Korean war? BBBS Child safety policy reminder regarding involvement of family members/friends on match activities: Both accepted?no questions No request for MEC follow-up ?Big noted: ?we?re meeting regularly and are getting along pretty well?
2021-09-03 MEC reached out to all Bigs via email with a variety of communications. Options to check in were given, including drop in virtual time, phone or setting up a meeting option, online survey, and texting and email options. On 9/1/2021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Pam stated that she?s well and recently started a new job. The match has been good, she?s been meeting with L_first_name pretty consistently every 2 weeks but this may change with her new job due to availability changing but she?ll check in with PG and work it out. They?ve been hiking, to a game, walked around a lot around his neighborhood and it?s been great getting to know him. Pam did stated that something difficult that?s come up is that LB gets a bit overexcited sometimes and will talk to anyone who will listen and seems not to get cues when people are over the conversation or that they?re ready to talk about something else. He?d more just talking but not engaging in conversation?not actively listening and stated she?s never seen that before and wasn?t sure how to respond or what to say to L_first_name. MEC has some experience with this and talked through some tips they can start trying out together: MEC encouraged Big to explore with LB if his excitement is coming from the activity they?re doing or if it?s a sensory processing sensitivity e.g. lots of people, loud noises etc. then together they can start mapping out cues for when L_first_name may be overcompensating and thus oversharing/over engaging with others. MEC encouraged she start asking things like: "Are you using your inside voice or your outside voice?" "Does your body feel tense?" "Do you notice other kids moving away from you?" Then, together come up with a signal or a word that you can use to let him know when you see an overexcited behavior cue or that he can use to let you know he's getting over excited. When either of you use the signal agree that you'll both practice some calming exercises or activities (like mindfulness or breathing techniques) and/or agree to switch gears. MEC will also send BS a mindfulness guide that she and LB may work on together so that LB has some support around self-regulation and so that as a match they can start exploring social emotional skills. Pam was open to this coaching and agreed to try out the mentioned tips. MEC followed up via email: Happy Friday Pam, Thanks again for checking in this week! I'm glad things are going well between you and L_first_name! So happy that your friendship is developing and that you're both having fun exploring different activity ideas! As promised, attached you'll find the self-care/self-love mindfulness guide (for Bigs and Littles). There are activities you can try together or decide to do apart. For activities you do apart, it's a good idea that when you do meet, you both still process the activity together by: · Talking about what you learned; · Self-awareness you gained and how you plan to incorporate it in your daily life; · How the activity made you feel, what you liked/didn't like about the activity etc. · Continue the conversation around self-care and self-love even after you've finished the guides and continue to promote this healthy self-awareness. These activities, promote a healthy lifestyle of self-compassion and empathy for both ourselves and others. Let me know if you'd like these guides printed and mailed out. I hope they support L_first_name as he continues learning about his own self regulation and social emotional skills. Keep me posted if I can be of any other assistance to your match! Best, (attached guides)
2021-09-25 Big Completed SCF for MOA--BBBS Event and also texted MEC: First Name B_first_name Last Name B_last_name Email email_address Cell Phone phone_number Who is your Match Engagement Coordinator? Raquel C. What is your Little's first and last name? L_first_name L_last_name Think of a time when you and your Little had a difficult conversation. How did you feel during the conversation, and what did you learn? -OR- What's a topic that would challenging for your match to discuss and how could you prepare for yourself for it? I had a tough time explaining bicycle safety to L_first_name. He did something when we were out biking that scared me and I didn't explain myself well. I would be more calm and careful discussing safety in our activities in the future. How does you Little share their opinions, likes, and dislikes? He is very open about what he likes. He doesn't always immediately share, but if I ask questions he usually shares easily How many times have you connected with your Little (in-person or virtually) since your last contact? 1 How many hours does you match usually spend together? 4+ hours Child Safety Policy Reminder- Sickness &amp;amp; Injury accepted This registration counts as your required monthly/quarterly contact with BBBS. Do you need a follow up from your Match Engagement Coordinator to address any questions regarding your match No MEC followed up via SMS: Hey B_first_name, just a quick reminder to check your email for additional details about Saturday's BBBS event. There is a link to a waiver that will need to be signed by Aminah. Thank you! Hope you and L_first_name have tons of fun &amp;#128578; Big responded: Sounds like a plan, we're all set, thanks!
2021-10-22 MEC reached out to all Bigs via email with a variety of communications. Options to check in were given, including drop in virtual time, phone or setting up a meeting option, online survey, and texting and email options. Big completed online check in form: Timestamp 10/22/2021 21:54:42 Email Address email_address Please enter your first and last name. Pam B_last_name With your best guess, how many hours did you spend with your Little this last month? 5+ Briefly describe your recent match happenings, what'd you do, how'd it go, any concerns, etc.: Last weekend we carved pumpkins. L_first_name had never done this before and really enjoyed it. It went well. No concerns at this time. Which of these characteristics do you find yourself incorporating the most in your match? How do you personally model expressing care when you?re with your Little? Be dependable What is the hardest thing about being a Big? Staying energetic enough to keep up with him I understand and agree to these rules and guidelines. Is there anything I can do for you or your match at this time? I think we are doing okay at this time This form will count as your monthly support check in. Would you like Raquel, your Match Engagement Coordinator to check in separately with you? No
2021-12-11 MEC reached out to all caseload Match Support Contacts due via email with a variety of communications and activity suggestions. Options to check in were given, including phone or setting up a meeting option, and online check in, and texting, and email. On 12/8/2020 Big completed online check in form: Timestamp 12/8/2021 11:38:25 What is your Littles Name" L_first_name L_last_name What is your name? Pam B_last_name FOR MATCHES IN THEIR FIRST YEAR - How many times did your match meet last month (virtually or in person)? 4 FOR MATCHES POST 1 YEAR - How many times did your match meet last quarter? (virtually or in person). Please describe the amount and/or pattern. For example: About 1x monthly for 3 hours each. Please write NA if your match has been matched under 1 year. NA Please describe the most recent activities your match had and any highs/lows you experienced together. Most recently we went for a hike at the Lake Elmo park reserve. We talked about the lake and read some educational markers around the area as well as checking out the frozen lake. We also attended a match night last month that went really well for a variety of activities and interactions.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Staying engaged through the winter with fewer outdoor activity options. I have some ideas, but most involve admission fees and while I don't mind spending some money I'd rather not do so on a weekly basis. Has your Little expressed any goals they would like to accomplish next year? He talks about college and being on his own a lot, bit his aspirations change often. I'll make a point to discuss shorter term goals with him at our next meeting. In general, what strategies have you noticed Little employs when they?re reacting to stress? How might you help Little incorporate new self care strategies if they?re experiencing stress this time of year? He will either internalize or lash out in frustration. We are working on some mindfulness strategies to help with that. I understand the above rules &amp; guidelines. Do you have any updates you would like to share? (Life changes, moving, contact information updates, etc) I am pregnant with a due date of May 30. I have already brought this up with L_first_name and Aminah. We will probably meet less frequently next summer but they are supportive. Mentoring can be hard work! Is there any way I can help make your match more successful? I think we are okay for now. If I run short on indoor activity ideas, I'll reach out. This form will count as your monthly support check-in. Would you like me to schedule a follow-up phone conversation with you? Only if you have concerns about our activities and my pregnancy
2022-01-31 MEC called BS for a check in MEC introduced herself and asked BS to share a little bit about her match. BS said they were matched last year during Covid and that her LB is 9 years old. BS said that LB is a great kid, super hipper active, looses focus fast and loved to participate in activities. MEC said its great that LB is great and MEC asked how many times do they meet a month. BS said they meet 1 a week or every other week. MEC said its good that they are seeing each other regularly. BS said that LB and his little sister do activities around the house of LB. BS also said that BS partner joins her for activities. MEC asked how many times does BS partner join and she said he's only joined twice. MEC asked how many times does LB sister join them. BS said she joins a couples times but only when her partner joins. BS clarified saying that it doesn't happen often but LB sister is 4 years old and she doesn't get out of the house much. BS also said that she is 5 months pregnant. MEC said congrats and that's so exciting. MEC asked how is the communication with LB and PG. BS said that she talks to PG first then with LB. BS informs PG the day before she is picking up LB to remind mom of the meet up. MEC said its great to keep mom in the group. MEC asked if there is anything BS needs from MEC. BS asked how the requirements change after being matched for a year. MEC said after they reach a year check-ins are every 3 months and BS and LB meet up 1 a month or more if they decide. BS said great. MEC asked when was the last time LB and BS got together. BS said they got together Saturday and did a science experiment. MEC said that sounds like a blast! BS said she and LB really enjoyed it. MEC said that she will reach out at the beginning of the month as a reminder of the check-in.
2022-02-25 MEC introduced herself to BS and asked BS how her match with LB is going. BS said that it is going good, LB is a great kid and that they like to do outdoor activities. MEC said that's great. MEC asked how often does she see LB on average in a month. BS said that they see each other 3 times a month and they try to see each other 1 a week. MEC said that is great that they have a schedule that it works out. BS said yeah. MEC asked if BS has anything else to share with MEC. BS said that LB sometimes looses focus and isn't aware of his surroundings. MEC asked if she could go a little bit more into detail. BS said that last time they saw each other BS partner joined them and they went to an ice castle place. BS said that LB grabbed some snow or ice and threw it and BSs partners face without warning and it hit partner in the face. BS said that she and her partner talked about how to talk to LB and come from a calm place and not get angry. MEC asked if BS partner is okay. BS yes he is totally fine but BS has noticed that this summer LBs neighbor has a pool and they went and she noticed that LB will throw water or things at other kids without telling them in advance. MEC asked if she could tell it is intentional or unintentional. BS said it is unintentional but she doesn't have children so she doesn't know how to go about it. MEC recommends that maybe talk to LB and put him in the perspective of BS partner with the ice thrown in his face or any other scenario and how it would make LB feel. MEC said that could possibly show him how he would feel being in the other persons shoes. BS said she will try to do that. MEC asked if BS has brought this up to PG. BS said she has noticed PG discipline LB and LB automatically shuts down and BS wants to talk to LB and not have him shut down. MEC said that is understandable and maybe to talk to LB from a safe place and put LB in other peoples shoes and see if that helps. MEC said if that doesn't help MEC will talk to coworkers and see if there is a resource MEC can offer. BS said that would be great because she doesn't have a child and doesn't know how to go about it. MEC said she totally understands she also doesn't have a child. MEC said if she notices the talk with LB doesn't work to let MEC know and she will find another way to talk to LB. BS said she will let MEC know how the talk goes. MEC said thank you. MEC asked if BS has any questions for MEC. BS said no and that BS is pregnant and is expecting this summer and she hopes it doesn't change the match she has with LB. MEC said congratulations and asked if LB and PG know. BS said she did tell PG and LB so they know. MEC said that's great.
2022-03-10 MEC asked BS how her match has been going since the last time they spoke. BS said that things are going good. MEC said that is great and asked when was the last time they saw each other. BS said they saw each other Sunday. MEC asked what they did. BS said that she brought her dog and LB went on a long walk. MEC said that sounds like fun. MEC asked what kind of dog does BS have. She said she has a German Shepard mix. MEC said she always wanted a German Shepard but MEC has a golden doodle. BS said she really likes dogs. MEC said she does too. MEC asked if she knows what LB wants to be when he grows up and BS said he wants to be a architect. MEC said that's great that he has an idea of what he wants to be. BS said it is. MEC asked if BS has any questions for her and BS said no. MEC said okay and that she will contact BS in 3 months for another check in. BS said sounds great.
2022-06-06 MEC asked how things are going with BS and LB since they last spoke in March. BS said that things are going well and that there have been some changes. BS said she has a 2 week old baby and that she saw LB 3 times last month which wasn't as much as they normally do. BS said that last week LB and PG went to meet BS baby son and they had a blast getting to a new stage in her life. MEC said congratulations on having a baby and it is amazing that PG and LB got to meet BS baby and they get to go through this stage together. MEC said that since they are over 1 year together they only have to see each other 1 a month but if they see each other more than that, that is great. BS said great to know and that LB and her like to see each other as much as they can. MEC said that is great to hear. MEC asked if LB has any questions, concerns or anything else she would like to share with MEC. BS said that LB is going to Nigeria to visit his older sister and dad. MEC said that must be so exciting for him to see family. BS said it is and that LB hasn't seen his father or sister since 2018. MEC said it will be a great reunion for him. BS said it will be. MEC asked if BS has talked to PG about staying in touch while LB is gone. MEC said that they don't need to do virtual hang outs since it will be LB first time seeing his dad and sister in years but maybe being penpalls but through email, MEC also said that they could use WhatsApp to try and stay in touch. BS said she will talk to PG since she is staying back but she never thought about staying in touch with LB while he was gone so she will talk to PG sometime this week to figure something out. MEC said that sounds like a great plan and MEC is always here if she needs help or has any questions.
2022-09-07 MEC asked if BS has time for a check in. BS said she does. MEC asked how things are going with LB and BS. BS said that things are good and that she saw LB before he left for a trip and then they saw each other last week to catch up and see how his trip was. MEC said that is great. MEC asked how communication is going with PG. BS said that things are going good overall. MEC said that is good to hear. MEC asked if BS has any questions or anything else to add. BS said no. MEC did mention the bowling event through BBBS. BS said that sounds like fun and she will talk to PG and LB to see if he is free and would like to go. MEC said that is great and thanked BS for speaking to MEC for a check in.
2022-12-08 Your name Pam B_last_name Little's name L_first_name L_last_name Approximately how many times has your match gotten together since your last check-in? (1 month for matches less than 1 year, 3 months for matches more than 1 year) 3-4 If you did not meet this month/quarter, do you know why? Do you and your Little's parent / guardian have a plan to have regular match outings again? I have a 6month old, so our meetings have been less frequent. We do plan regular meetings How long does your match typically spend together each outing? 2-3 hours What activities have you and your Little done together since our last check-in? What were some favorite moments from those outings? Any learning opportunities? Mostly visits at his home with craft/experiment activities and games. It's been too cold to be outside. We went to a corn maze before Halloween, too. How is your "Match Goal" coming along? If you don't have one yet, what is something your Little would like to work on? (Example: Learn how to ride a bike, Practice reading chapter books, Learn how to skateboard, raise your grades...etc) We haven't defined one, but we'll talk about making one for the new year. What is something that makes your Little "light up"? In other words, what is something that your Little is very interested in or gets really excited about? He loves to read and talk about the different books he's read. Have you ever made a connection between your Little and another resource or person in support of Little's goals? If so, what was it? If not, can you think of a connection you might be able to make? Not specifically. I happened to know his band teacher socially and we've discussed his situation/demeanor. She has been a good influence on him, too. Please respond after reading the Safety Reminder below: Policies on Movies, Video Games, Media, and the Internet I have read &amp; understand the safety reminder. Do you have any updates you would like to share? (Life changes, moving, contact information updates, etc) None at this time. How else can I support you or your match? Maybe not a you-level thing, but I often find we can't coordinate to attend match nights because the announcement email arrives in the same week as the event. Since we like to agree on activities together, the late notice events are difficult for me to coordinate. MEC responded to BS via Text: Good Morning Pam! I just read over your google form entry. Congratulations on your baby! I am happy to hear that you and L_first_name are seeing each other as often as you are! I understand it can be difficult to coordinate for our events. Here is the link to our calendar that is updated regularly! Please let me know if you have any questions!
2023-03-01 Your name Pam Little's name L_first_name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We met less than preferred, this will improve with the weather. How long does your match typically spend together each outing? 3-4 hours What activities have you and your Little done together since our last check-in? Please tell me about one win or highlight, and one learning opportunity. At home science experiments How is Little's "Match Goal" coming along? What has Little done recently to make progress towards accomplishing it? If you're not sure, what ideas do you have to support them in accomplishing the goal? We never officially set a goal. We will do so this year. How do you express care when you?re with your Little? I ask him thoughtful questions and probe for his feelings/opinions on things. I also try to be present for him while we are together. How does your Little express care in the relationship? Is their approach different than your own? He shares stories with me and sometimes asks probing questions. I'd like to work at having a more open relationship with him, but for now I feel like he trusts me. Please respond after reading the Safety Reminder below: Personal Boundaries I have read &amp; understand the safety reminder. Do you have any updates you would like to share? (Life changes, moving, contact information updates, etc) No How else can I support you or your match? We're good for now as far as I know. MEC responded to BS via Text: Thank you Pam for completing the google form so quickly! I did have a check in with L_first_name last month and he shared how much fun he had doing the science experiments with you. Happy to hear that you ask L_first_name questions and are present when you spend time with him. Great to hear that L_first_name asks you questions and that he trust you! Thank you again Pam!
2023-06-20 Big's Name Pam B_last_name Little's Name L_first_name L_last_name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How long does your match typically spend together each outing? 2-3 hours What activities have you and your Little done together since our last check-in? Lego sets, birthday party How is Little's Youth Goal going? What has Little done recently to make progress towards accomplishing it? If you're not sure, what ideas do you have to support them in accomplishing the goal? We don't have an established goal. We've been sharing books recently. How does your match manage cost of activities? How do you feel this is working or not working? We typically do low or no cost activities that I pay for. It has been okay so far In what ways do you and your Little share power? Has that changed over time? We have always chosen activities together. For his birthday this year, I offered a few options but ultimately let him pick something completely different he'd wanted to do. How do you and your Little go about planning activities together? We often discuss what we will do next at the end of a meeting.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Please review the language in our policy and note we do not allow overnight activities. He has only been to my home a couple of times. He visited with my dogs in a controlled manner, and explored my yard. Will you have any schedule changes such as going out of town or general availability changes over the summer? If so, have you communicated these schedule changes with your Little's Parent/Guardian? I have generally been busy with my child, and adjusting to that has meant less time for L_first_name and I. His mom is understanding, but I am making an effort to create more time. Do you have any updates you would like to share? (Life changes, moving, contact information updates, etc) Nothing I can think of. Is there anything I can do for you to help you be the best mentor you can be? I think we're good. MEC responded to BS via text: Good Afternoon Pam. Thank you for completing the google form. Happy to read that you and L_first_name are seeing each other regularly and that you are doing fun activities together. It is great that you are both sharing books! It is great that L_first_name feels comfortable voicing what activities he would like to do. It is great that hear that L_first_name has gone to your home to visit with your dogs! You and Aminah communicating and that she is understanding of you being busy. Thank you Pam!
2023-09-07 Big's Name Pam B_last_name Little's Name L_first_name akinola Approximately how many times has your match gotten together since your last check-in? (1 month for matches less than 1 year, 3 months for matches more than 1 year). 3-4 times If you did not meet this month/quarter, do you know why? Do you and your Little's parent / guardian have a plan to have regular match outings again? We plan outings regularly How long does your match typically spend together each outing? 2-3 hours How is Little's "Match Goal" coming along? What is something you've done recently to support them in accomplishing their goal? We are still discussing a new goal for this year. What stage would you say your match is in right now? Which characteristics of this stage do you see reflected in your own mentoring relationship? Maturity. We have established trust and have easy conversations. What is one thing you've learned about your Little's personality recently? He gets really quiet when tired and it doesn't necessarily mean he's pulling away from me. Take an opportunity to reflect on the policies titled "When using public restrooms; When returning a child home after match activity". Click Child Safety Policies &amp; Guidelines for review. Do you and your Little's parent or guardian check in with each other after outings? Most of the time yes. Do you have any updates you would like to share? (Life changes, moving, contact information updates, etc) No Mentoring is hard work! Is there anything I can do right now (ex: provide resources, talk through a lingering concern) to support you on this journey? Good for now. MEC responded to BS via text: Good evening Pam. Thank you for completing the google form so quickly. It is great that you and L_first_name are seeing each other regularly and also discussing a new goal for this year. It is great that you see your match has matured and also established trust and having easy conversations. Please let me know if you have any questions! Have a great evening and I will check back in with you in December!
2023-11-27 BS and LB attended the MN Zoo Event through BBBS. LB and BS interacted with BBBS Staff
2024-02-01 Happy February Pam! I hope you are enjoying the beginning of the month and this nice weather! I look forward to hearing from you to hear how things are going with L_first_name. You can complete this month's google form ( ). You can schedule a phone call check-in here through my google calendar ( ). Also feel free to text me letting me know what day and time works best for you. Look out for a communication email about a BBBS update! This Months Child Safety Topic is Riding in or operating motor vehicles &amp; supervision and transportation of youth. * Please reach out to me if you have any questions or concerns about this policy Here are some BBBS Upcoming Events! ** Please reach out to Big to see if they are available for the bottom events ** Financial Literacy Workshop (Littles ages 12+) February 13th @ 6:00 pm - 8:00 pm RSVP HERE FAB Life?s Financial Literacy: Using ECMC (the Educational Credit Management Corporation)?s FAB Life game, matches will embark on a financial journey, discovering the basics of managing money, discovering how that aligns with their future goals, and explore a possible future life. What to expect: Join us to learn more about ?real life? finances at this interactive workshop. Littles ages 12+ will be given a life scenario and experience balancing their budget a</t>
  </si>
  <si>
    <t>2017-04-10 Question: Activities: Answer: MSC asked what they've been up to so far. BB said he went to LB's bball game. BB said their second time out BB ended up hanging out with LB and some of his friends that he had invited over. BB said he usually lets LB choose the activity, so if that's what LB wants to do, that's fine with BB. MSC asked what they did. BB said skate board, biked around. Question: Child Safety: Answer: MSC explained the 1:1 policy with BB. MSC let BB know if LB brings something like that up again to let LB know Louie from BBBS let BB know they are to spend time together 1:1. MSC discussed exceptions to the rule. BB understood. Question: Child Development: Answer: MSC encouraged P to stay in communication with P on how LB is doing with school and in general, so that BB can mentor and advise LB accordingly. Question: Child/Volunteer Relationship development: Answer: MSC asked how the match is going. BB said so far it has been great. BB said if he can say, this P is a lot nicer. Question: Relationship with BBBS: Answer: MSC promotes lake days program. MSC emailed BB: Hey B_first_name, Nice catching up today! Below you'll find the info on April's Lake Days outing. Health Club - Lake Days (Monthly through September) Who: All ages are welcome Date/Time: Saturday, April 29, 2017. Check in @ 10:30 We will be hitting a different lake each month to get active and enjoy the summer! You choose your activity! Healthy snack provided Health Club - Lake Days! Registration is open now. Question: Parent/Volunteer Concerns: Answer: MSC asked BB if he has any questions or concerns. BB did not. Question: MSS Notes: Answer: Match seems to be off to a good start. MSC will reiterate 1:1 policy to P.
2017-05-02 Question: Activities: Answer: What did you do on your last outing? Biking Question: Child Safety: Answer: Little: Describe one healthy and one unhealthy habit that you have: Running, eating donuts Question: Child Development: Answer: Big: What is a short-term goal that your Little has, and how can you help them accomplish this goal? Being the coolest kid in class. I can help him with the sports. - MSC note: LB had said sports is one way to ?be cool? Question: Child/Volunteer Relationship development: Answer: What has changed about your match relationship since your first activity together? We got to know each other more Is there something that you?d like to see BBBS plan for this coming Spring/Summer? Party, BBQ, Big Parties Question: Relationship with BBBS: Answer: Is there something that you?d like to see BBBS plan for this coming Spring/Summer? Party, BBQ, Big Parties Question: Parent/Volunteer Concerns: Answer: Do you need a follow up call from Match Support to address any questions regarding your match? **This form counts as your required monthly/quarterly contact with BBBS.**  Yes, it?s urgent  Yes, but it?s not urgent __X___ No Question: MSS Notes: Answer: Match seems to be going great. LB and BB were joking with each other, and getting along well.
2017-06-09 No Updates
2017-07-22 Question: Activities: Answer: na Question: Child Safety: Answer: na Question: Child Development: Answer: na Question: Child/Volunteer Relationship development: Answer: na Question: Relationship with BBBS: Answer: MSC conducted 3 month SOR. BB positive about the friendship. BB said they are still in the getting to know each other stage, but said they are having a good time. Question: Parent/Volunteer Concerns: Answer: na Question: Other Comments-List progress/activities in school and in JJ System: Answer: na Question: MSS Notes: Answer: MSC conducted 3 month SOR. BB positive about the friendship. BB said they are still in the getting to know each other stage, but said they are having a good time.
2017-08-22 Question: Activities: Answer: 1. How many match activities have you done together this summer, not including today? (circle your answer) a. two-three Question: Child Safety: Answer: 2. Do you ever include family or friends on your match activities (besides the summer picnic today)? a. Yes, explain: this one Question: Child Development: Answer: 3. What kinds of goals would you (LITTLE) like to accomplish with your Big this summer? (Circle 1-2 goals) a. Try something new that you have never tried by the end of summer b. Pick an arts and crafts project and complete it by the end of summer c. Go to the library, check out a book, and read it together before school starts d. X Do more outdoor activities like swimming, fishing, bike riding, playing a sport e. Other, for example Question: Child/Volunteer Relationship development: Answer: 4. How does your match (BIG/LITTLE) show appreciation to one another? (circle all that apply) a. Saying please and thank you b. Hugs c. X High fives, fist bumps d. Doing something thoughtful e. Other, explain: Question: Relationship with BBBS: Answer: 5. Do you need a follow up call from your Match Support Coordinator with any questions or concerns regarding your match? a. No 6. Are you willing to be contacted by BBBS to help recruit BIGS in your community? Y or N Question: Parent/Volunteer Concerns: Answer: na Question: Other Comments-List progress/activities in school and in JJ System: Answer: na Question: MSS Notes: Answer: Match filled out support form @ BBBS Summer Picnic on Saturday, July 29, 2017 MSC got to speak with P, LB and BB. Doing well. P supportive.
2017-09-29 No Updates</t>
  </si>
  <si>
    <t>2017-03-30 Question: Activities: Answer: Msc asked about activities. Bs said they met twice where they went bowling and watched a movie. Question: Child Safety: Answer: Bs has msc's and mom's contact info. Question: Child Development: Answer: None during this contact. Question: Child/Volunteer Relationship development: Answer: Msc asked about match relationship. Bs said it is going really well. They are planning to meet twice a month. Msc asked what bs thought of Ls. She said Ls is "a great kid." Bs sees potentials in Ls and they share similarities. Bs said Ls was quiet at first, but then warmed up to bs. Msc asked how is communication between mom and bs, she said it is good, they mainly text. Question: Relationship with BBBS: Answer: Msc introduced self and role. Msc talked about match central and newsletter. Msc emailed bs the info. Question: Parent/Volunteer Concerns: Answer: Bs does not have concerns. Question: Other Comments-List progress/activities in school and in JJ System: Answer: Bs told msc that Ls will be having a new baby sibling. Bs was not sure who to communicate with about any possible changes, msc encouraged her to check in with mom on it. Question: MSS Notes: Answer: Match is doing really well as reported by bs. They are starting off well with activities and communications. no concerns. continue call.
2017-04-30 Question: Activities: Answer: Msc asked about activities. Bs said they went to the movies and to the library. Question: Child Safety: Answer: Msc asked if activities are done 1:1? Bs said yes. Question: Child Development: Answer: Msc asked if Ls is more comfortable talking to adults or peers? Bs said peers because she can relate to them more. Question: Child/Volunteer Relationship development: Answer: Msc asked about match plan goals. Bs said it is going well. They meet every Saturday for outings. She said the match relationship is meeting her expectations. Msc asked how is the communication between her and mom. She said it is good, they usually say hi during pick up and drop off. Question: Relationship with BBBS: Answer: Msc asked if any support/activity is needed for match. Bs said no. Question: Parent/Volunteer Concerns: Answer: No concerns reported. Question: Other Comments-List progress/activities in school and in JJ System: Answer: None Question: MSS Notes: Answer: Match is doing well. They are meeting for outings. no concerns. continue call.
2017-05-29 Question: Activities: Answer: Msc asked about activities. Bs said this month has been busy for her; therefore, they have not gotten together. They plan to go to the Nickeleon Universe this weekend. Question: Child Safety: Answer: No child safety concerns reported. Question: Child Development: Answer: N/A Question: Child/Volunteer Relationship development: Answer: Msc asked about match relationship. Bs said it is good. Msc checked on match plan goals: find opportunities to be successful- bowling activity where they both started out "rocky" but later learned how to bowl; keep trying when challenged- they didn't give up on the bowling experience; learn about college &amp; careers- Ls has shared a couple of things she might like to do in the future when she is older, but nothing solid yet; speak up for what?s important- match talks about what they like to do and what they value as important to them; volunteer/help others- in progress, msc suggested some volunteer ideas; care for neighborhood and school- bs reported that Ls cares about her family, likes her friends, and enjoys school; learn a new artistic skill- in progress; explore a new form of art- in progress, msc suggested some ideas; explore a new cultural experience- they are both are learning about each other's culture. Msc also suggested some bbbe world culture events/activities. Question: Relationship with BBBS: Answer: Msc completed Match plan goals check in and also suggested some activity ideas. Question: Parent/Volunteer Concerns: Answer: Bs does not have concerns. Question: Other Comments-List progress/activities in school and in JJ System: Answer: n/a Question: MSS Notes: Answer: Match is doing good. They didn't see each other much this month, but do plan to meet soon. They are still working on match plan goals. no concerns. continue call.
2017-06-30 Question: Activities: Answer: Msc asked about activities. Bs said they went to MIA. They plan to go to the sculpture garden for next outing. Question: Child Safety: Answer: No child safety concerns reported. Question: Child Development: Answer: n/a Question: Child/Volunteer Relationship development: Answer: Msc asked about match relationship. Bs said it is going well. Msc asked if match has summer plans. Bs said they would like to do more outdoor activities. They also are thinking going to the Twins game. Question: Relationship with BBBS: Answer: Msc talked to bs about the bbbs ticket center for twins tickets. Msc also talked to bs about bbbs picnic. Msc completed sor survey with bs. Question: Parent/Volunteer Concerns: Answer: Bs does not have concerns. Question: Other Comments-List progress/activities in school and in JJ System: Answer: n/a Question: MSS Notes: Answer: Match is doing good. Msc talked to bs about some bbbs events/resource. no concerns. continue call.
2017-07-31 Question: Activities: Answer: BBBS Summer Picnic Support Form Little?s Full Name: __L_first_name L_last_name Bigs?s Full Name: B_first_name B_last_name BBBS Primary Contact Person: ___Mai Shoua Lee Please answer the following questions together (use the back if necessary): 1. How many match activities have you done together this summer, not including today? (circle your answer) a. Zero-One b. Two-Three c. XFour-Five d. Other  2. Do you ever include family or friends on your match activities (besides the summer picnic today)? a. XNo b. Yes, explain:  3. What kinds of goals would you (Little) like to accomplish with your Big this summer? (Circle 1-2 goals) a. XTry something new that you have never tried by the end of the summer b. Pick an arts and crafts project and complete it by the end of this summer c. Go to the library, check out a book, and read it together before school starts d. XDo more outdoor activities like swimming, fishing, bike riding, playing a sport e. Other, for example  4. How does your match (Big/Little) show appreciation to one another? (circle all that apply) a. XSaying please and thank you b. Hugs c. XHigh fives, fist bumps d. XDoing something thoughtful e. Other, explain:  5. Do you need a follow up call from Match Support to address any questions regarding your match? A. Yes, ASAP B. Yes, but it?s not urgent C. XNo D. Are you wiling to be contacted by BBBS to help recruit BIGS in your community? XY/N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attended bbbs picnic and completed support form. Msc got a chance to chat with them for a bit. no concerns.
2017-10-11 Question: Activities: Answer: Msc asked about activities. Bs said they recently met to go to the movies. They were able to talk on the drive there. Before that outing, bs was sick; therefore, they didn't meet. Question: Child Safety: Answer: Msc asked if bs ever leaves Ls alone with someone else, bs said no. Question: Child Development: Answer: Msc checked on Ls. Bs said Ls is doing good, she is at a new school now. Bs will check in with Ls for more details next time they meet. Question: Child/Volunteer Relationship development: Answer: Msc asked about match relationship. Bs said it is good. Msc asked if there is anything Bs like done differently in match. Bs said no. She added that "the more time we meet, the more we are able to relate to each other and have fun!" Msc is glad to hear this. Question: Relationship with BBBS: Answer: Msc asked if any support/activity is needed for match. Bs said no. Question: Parent/Volunteer Concerns: Answer: No concerns. Question: Other Comments-List progress/activities in school and in JJ System: Answer: n/a Question: MSS Notes: Answer: Match is doing good. They recently met for an outing. Bs reported, "the more time we meet, the more we are able to relate to each other and have fun!" no concerns. continue call.
2017-10-31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Comm log for details on Email communication with Bs. Match will be closing, as bs has decided not to continue with program due to being in 2nd trimester with child. She has already notified both mom and Ls about this. Msc had to check with her supervisor to confirm the situation, since match is under a year. Msc sent Bs closing questions. No concerns on match.
2017-11-30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Closing with bs via email: Hi Mai, Thanks so much for sending this over. And thank you for arranging the match closing; I know it's not ideal. Please see my answers below -- What were the highlights of your match? Meeting a smart, funny young person! Any regrets or disappointments in your match? No! What are your expectations for contact after the match is closed? Will you continue contact through phone, email, etc? As a reminder, once your match is closed all future contact is no longer under the supervision of Big Brothers Big Sisters. I don't know. I am open to further contact, though. Do you have any concerns with your Little participating in a new match? No! Overall, I had a good experience with my Little and enjoyed being a Big. The only piece of feedback that I really have for the experience is that I wish the Bigs would have received a bit more training. For example, how to deal with adolescents and the different situations they are in with their friends, how to form relationships with the Little's family, etc. Thanks again Mai! With warm regards, B_first_name Msc emailed the following back: Hi B_first_name, Thanks for completing the closing and for the feedback! I will contact L_first_name and Germaine to do closing as well. I wish you well as you begin your motherhood journey. Thanks for all that you have done for L_first_name and the BBBS program.
2017-12-01 Question: Activities: Answer: Match Closed.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Closed.
2017-12-01 No Updates</t>
  </si>
  <si>
    <t>Match Rationale: 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 Dated Notes: 2018-02-14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B_first_name said that everything in the match so far is great. The match meeting was great and for their first outing they went bowling. B_first_name said it wasn't awkward at all and they really connected. They also went to the library and played checkers and read a book. B_first_name also attended L_first_name's basketball game and he sat next to Jill and they talked quite a bit. They have really good communication. There are no concerns or questions about the match or program yet. MEC explained her role moving forward and told B_first_name he can always check in for questions, concerns, or ideas between monthly calls.
2018-03-20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B_first_name said that everything is going well. They only have gotten together once since we last spoke and they went roller skating. B_first_name said it pushed him out of his comfort zone because he hasn't skated for 15 years, but he had a lot of fun. They are looking forward to going biking this summer. B_first_name also gave a list of ideas to L_first_name for things for them to do this summer. MEC asked B_first_name about the Match Connection party and sent him the registration information for April's parties. B_first_name said that L_first_name is a great young man. Conversations are really good and he said L_first_name is very outgoing. He also said that L_first_name wears his seatbelt in the car. Match continues to go strong and B_first_name didn't have any questions or concerns.
2018-04-25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Seen otes Question: Other Comments-List progress/activities in school and in JJ System: Answer: See notes Question: MSS Notes: Answer: B_first_name said that things are going well. Unforuntunately their match party was cancelled and they weren't able to get together that evening to do something else. B_first_name and L_first_name do have plans to go biking this week though since the weather will be nicer and they will be attending the Saints game. MEC reminded B_first_name to make sure that L_first_name wears a helmet when they ride their bikes, and that she is excited to meet them at the Saints game. B_first_name asked if there is a Match Connection party for May. MEC will email him the information for upcomimg match parties. MEC has no concerns about the match and thinks that they will find a lot more to connect over after they can do some outdoor activities.
2018-05-16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Attended Saints Game BIG: What are three things that your little excels at? Extremely outing (carrying conversation), football, acting Little: What is your favorite subject in school? Least favorite? Favorite - gym, worst - math BIG: What have you learned from your little? Smart, well mannered, respectful Little: What have you learned from your BIG? How to play bowling better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Yes, it?s urgent: Yes, but it?s not urgent: X No: 
2018-06-26 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Voicemail received: B_first_name said that he was on vacation last week but the relationship with L_first_name is still going really well. For their last outing they went to the National Sports Center and watched some bike races. In July they are going to go to the BBBS picnic and then go to a Saints Game to make up for the rained out BBBS event. B_first_name said to call to follow up with any questions or concerns. MEC feels comfortable leaving this check in brief since everything was fine when we talked in person at the Saints game and MEC will see them at the picnic.
2018-07-16 Question: Activities: Answer: **Attended picnic** BIG: What is the best memory or story you have of your Little? I was teased in school but it was only a problem when I did it back or let it bother me. Little: How are you a good friend to your Big? What makes your Big a good friend? I am nice and he is very nice to me. BIG: What changes have you seen in your Little since you were matched? More open to sharing what has happened since we last met and what is going on in his life. Little: Are you attending any summer camps, classes, or activities? Yes I am in learning ventures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 ? Yes, but it?s not urgent: ? X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*Attended picnic**
2018-08-02 Question: Activities: Answer: **MEC error, MEC talked with Big at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error, MEC talked with Big at summer picnic**
2018-09-05 Question: Activities: Answer: MEC asked B_first_name how everything is going. Big indicated things continue to go well. This is a very strong match that gets together frequently. Big indicated last outing was last week. Match went to Adventure Park. MEC asked Big what that was, he said "they have trampolines, it is like ninja warrior". Big said he had fun despite the age difference. Big said he thought he was too old for most of the activities there. Communication with PG is going well. Little started school on Tuesday but Big doesn't expect schedule to change. Big isn't sure what to do for next outing, MEC suggested Bigs Page and also Wilderness Inquiry event. Big seemed more interested and that and requested MEC email him event flyer. MEC has no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very strong and continues to go well. Outings are regular and communication continues to go well. Big requested MEC help with activity planning. MEC followed up with email. MEC has no concerns at this time.
2018-10-08 Question: Activities: Answer: Last outing we went to Urban Air - an indoor activity park (trampolines, obstacle courses, climbing walls). Will attend Football game next week. Planning activities is getting more difficult (school activities, weather, variety). 2. What are some areas you would like to help your Little grow in? Being more in the moment less cell phone. 3. Was there ever a time you had difficulty saying NO to your Little? If so, what happened? No. He is very respectful. 4. What opportunities do you give your Little to make decisions? What decisions have you and your Little made together? When we attend a function he will make the decision on what activities we do. We usually decide together when we are done. 5. Do you have anything else you would like to share, any concerns (communication with parent/ activity planning)? Do you have any updates to report (i.e new job, new address, contact information)? We did not get together in September but I will see him next week (football game). MEC response: Hi B_first_name, Thank you for checking in with me this month. When I spoke with Jill in September she did mention they were out of town. I am glad you and L_first_name are able to schedule and outing for this month. As far as activities go, I recommend checking out our Bigs page We have a lot of fun events planned for October like our Fall Festival, Outdoor Buddies Log Rolling, and Film Fest. I also attached a document with community events for October. If you need any additional support on this please let me know. Have a great Monday!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Match was not able to see each other in September due to family being out of town. Big and LB are now scheduled to attend a football game together. Big continues to have great communication with PG. MEC has no concerns, match has a great relationship. Will continue with regular support.
2018-11-06 Question: Activities: Answer: MEC asked BB how things are going with match. BB reports things continue to go well. Last outing was canceled due to LB feeling sick. LB had asked BB to take him to Trail of Terror as a fun fall activity to do. BB was fine with it since they had talked about LB getting over his fear. They plan on going to Bowlero this weekend. MEC asked how scheduling is going since last check in with MEC PG said LB is really busy. LB is involved in basketball, football, and is in a play at school. LB did mention scheduling used to be a lot more challenging since BB did not have weekends availability. Now match will usually get together on the weekends or weekdays after school, depending on what they are doing or have planned. MEC thanked BB for working around LB schedule. BB said LB is a great kid and is doing great things. He is happy to be mentoring LB and did not report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great despite a few canceled outings. Last outing was canceled due to LB being sick and previously BB was on vacation. LB is busy with extra-curricular activities that he is involved in at school. This used to be a problem for match due to BB not being able to meet on weekends. However BB and LB work around his busy schedule. MEC has no concerns and will continue to support.
2018-12-11 Question: Activities: Answer: Event and date: ¬¬¬¬¬¬¬¬¬¬¬¬¬¬¬¬Winter Picnic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we both have many things in common 2. Big: Does your Little communicate more easily with adults or peers? Why? L_first_name can converse with anyone young or old- good listener Little: If you had to eat the same meal for the rest of your life, what food would you choose and why? Croissants because you can eat them for ever 3. As a match, do you and your Little have a New Year?s resolution or goal? Explain Continue to stay connected and meet regularly like we did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No_X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glad she was finally able to meet match in person. LB is so sweet and respectful. MEC brieflt chatted with him about his school play and other extra curricular activities he is involved in. Match is very strong. MEC has no concerns and will continue to support.
2019-01-02 Question: Activities: Answer: Aim Error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2019-02-05 Question: Activities: Answer: MEC checked in with BB this month. BB said PG is undergoing chemotherapy sessions right now. It has been difficult scheduling outings because LB is in the care of a neighbor while mom is going to chemotherapy. The last time match got together was some weeks ago when BB went to LB basketball game. That is when PG told BB about her chemotherapy. MEC asked BB if he had a chance to talk to LB about it, he has not. BB said he understands this is a difficult time for family and is being patient. He will reach out to mom but understands that scheduling outings at this time but be hard. MEC said she understands and thanked BB for his patience. MEC said if BB needs any additional support to please reach out.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and LB have not gotten together in a few weeks. Last time they got together BB went to LB basketball game. PG disclosed that she is going to chemotherapy sessions. BB is being patient with family as he knows scheduling outings during this time can be difficult. MEC said she understands and appreciates his patience. MEC will continue to support match.
2019-06-17 Overall, the match sounds like it's going very well. BB speaks very highly of LB's maturity, curiosity, courteousness, and active engagement in their activities. He also mentioned that feedback from PG has been very positive. They visited Medtronic a few weeks ago for a career exploration activity and LB had an absolute blast and is now exploring engineering pathways. They plan to attend an FBI career seminar next week and the summer picnic in July. MEC also pushed for Science museum tickets, BB sounded highly interested. BB was concerned about a few things: 1) LB wants to know more about his father, who has never really been a part of his life, so BB will speak with PG about how to support that (MEC said ok as long as PG is on board); 2) BB and LB have begun to talk about faith and forgiveness, BB wants to speak with PG about furthering this conversation and possibly doing faith-based activities; 3) BB was concerned that their match would close as LB entered teenage years, MEC told him they would likely transition to a teen match; 4) BB is having some trouble with BigApp. This sounds like a highly engaged and active match and BB seems to have a skill for supporting LB in exploring his world both internally and externally. It sounds like this match has the potential for a very long lifespan and BB is extremely engaged.
2019-09-19 How many times have you met up with your Little since our last check in? (Give your best estimate) 2 How many hours do you typically spend together? 4 Please provide a brief update of your match. What activities have you been doing? What's new and exciting? Have you faced any challenges? REFLECT &amp; SHARE: We attended the BBBS picnic and the state fair. L_first_name?s first time attending the fair and he loved it all including the bus ride. We both had a busy late summer. My daughter got married and another daughter had a child. L_first_name began football and went to a camp. We did not get together as often as we?d like. Grades are important for your Little, but don't overlook their social development and their ability to take advantage of support systems and extracurricular opportunities while they're in school. Describe how you check in with your Little about their school life. How do you help them address challenges and celebrate their success? We always talk about school, classes and grades. L_first_name is an excellent student and excel in the classroom. He is also very active in extra curriculars (football, theater, basketball). SHARE POWER (based on the Search Institute's Developmental Relationships Framework): Too often, youth are viewed only as the recipients of education. In doing so, society undervalues the knowledge they acquire on their own and their lived experience. Research has shown there is tremendous value in giving youth the platform to flip this relationship upside down. All youth have the capacity to teach adults something new or offer a meaningful glimpse of the world through their eyes. Describe a time where your Little has taught you something new or helped you see something from their perspective. L_first_name is very relational. When we are together he is a great example to me of relating to others in conversation, silliness, respect, curiosity, honesty and openness. And not being self-conscious. SHARE POWER: Regardless of your answer to the previous question, describe how you will provide your Little opportunities in the future to teach you something new or help you see something from their perspective. I do a lot of listening and observing and questioning. He is very conversant and generally carries our conversations. This works well for us. Checking In Regarding School: Now that the school year has begun, describe how you stay informed with how your Little is doing in school from the perspective of their parent/guardian? Has anything come up that your Match Engagement Coordinator should be aware of or could support you with? Text and talk with L_first_name?s mom and him on these subjects. Will attend his extra curricular activities when I can. Many parents/guardians have barriers far out of their control (work schedule, language barriers, mental or physical health, etc.) that make it difficult to be fully informed about their child's school life. You can play a critical role in keeping the Parent/Guardian informed by building a trusting, positive relationship with your Little and asking probing, open-ended questions about school. Describe your strategy for keeping your Parent/Guardian up to speed with information you may gather about their child's school life. Will continue to probe in this area and discuss with his mother. Has not been an issue at all When using public restrooms: Escort the child to any public restroom to ensure safety When returning home after an activity: Escort the child to the door to ensure his/her safety., Check in with the parent/guardian at this time, letting him/her know how the activity went., Communicate any concerns about the child privately with the parent/guardian., I have read and fully understand the above child safety policies. If you have a question regarding one or more of the Child Safety policy items listed above, please write it here. No questions Do you have any other questions or concerns you would like to discuss? If so, please provide a time and method of contact for me to follow up. Thank you for taking the time out of your schedule to check in. Not at this time.
2019-12-16 BBBS December Check In Form Please provide a brief update of your match. What activities have you been doing? What's new and exciting? Have you faced any challenges? REFLECT &amp; SHARE: * The last three months have seen the least interaction of our entire relationship. We did attend the state fair and a school play. But since school has started L_first_name has been very active in football and the school play. Our relationship is still very good but our interactions have been fewer. L_first_name has a new interest: girls. His mom has asked me to have conversations with him on this subject. Please describe any activities your Little loves to do in the winter. Please describe any activities you love to do in the winter. Examples: ice skating, hot chocolate, sledding, and playing board games. * L_first_name: roller skating, ice skating, basketball Me: sledding, indoor stuff Have you had an opportunity to do any of these activities together this year? * No Do you celebrate any holidays or have any traditions during the winter? Has your Little been able to celebrate with you in any way? Please describe. * Traditional Christmas get togethers with family, gift exchange. I have not done these with L_first_name. Please describe any recent significant changes in the lives of your Little and their family (moving, new phone #, death/illness, new job schedule, etc.)? Do you anticipate any challenges for your Little or their family as we approach winter? * No significant changes recently or expected for either of us. If you feel comfortable sharing, please describe any recent significant changes in your life? Have you shared this with your Little and their Parent/Guardian? * Recently celebrated the birth of our first grandchild Have you had any issues with communication, planning activities, or budgeting with your Little's Parent/Guardian? If so, please describe. * No communication issues. Busy schedules have prevented us from meeting as frequently as we have in the past. Child Safety Policy Review: High Risk Activities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None at this time
2020-03-09 BB reports the match is going very well and they are meeting up consistently. MEC and BB discussed the celebration of their 2 year anniversary. MEC encouraged BB to register for anniversary party BB reports that February was an especially good month They went to a movie; went bowling for PBS taping to promote BBBS; went to LB's school play (played Scarecrow in The Wizard of Oz) Comms are really good; BB and PG talked a lot at the play. They have a very strong bond. No big changes in anyone's lives MEC talked about teen programming, which the match has already taken advantage of. Challenging growth: up until recently, BB has done most of the listening to LB...who loves to talk; recently, BB is learning to talk more in the relationship. MEC insisted that this was a wise order for their relationship to develop. No plans for next outing at this time MEC reviewed safety concerns regarding coronovirus and encouraged match to take a break if anyone in either household is feeling ill No other issues or concerns at this time.
2020-06-09 June Online Check In Form Please provide a brief update of your match. What activities (virtual or in-person) have you been doing? Have you faced any challenges with connecting remotely? REFLECT &amp; SHARE: * L_first_name, his Mom and I have texted a couple of times but have had no in person meetings since February. (Optional) Please feel free to use this space to share any thoughts or feelings you have related to the death of George Floyd and the following protests and violence in the Twin Cities. Have you been directly affected? This may help me to better support you and your match. (Optional) Do you feel like these events may have an impact on your match? If so, how? (Optional) Would you like me to connect you with any resources to support you and your Little process your thoughts and emotions together or individually? If so, can you give me an idea of what may help? I highly encouraged you to reach out to your Little's parent / guardian as soon as possible to see how they're doing. Please try to ask whether or not they feel comfortable with you discussing George Floyd's death, the protests and violence, or police/community relations with your Little. It's important that you're on the same page and respectful of their wishes. Have you had any issues with communication, planning activities, or budgeting with your Little and their Parent/Guardian? If so, please describe. * We have had very little communication other than texting from time to time. Safety Policy Review - COVID-19 basics from the CDC Mentoring can be hard work! Is there any way I can help make your match more successful? This form will count as your monthly support check-in. If you would like to schedule a follow-up phone conversation, please use this link to schedule a call : ( )
2020-09-24 BBBS September 2020 Check In Form Please provide your full name and any recent updates to your contact info (phone #, email, street address) * B_first_name B_last_name How many times have you met up (virtually or in-person) with your Little since your last check in? Give your best estimate * 3 How many hours do you typically spend together? * 3 REFLECT &amp; SHARE: Please provide a brief update of your match. What activities (virtual or in-person) have you been doing? Please describe any recent highlights or challenges? * In person we went for a bike ride near L_first_name?s home. Virtually we texted to get an update on how he is doing and what plans are for school. Whether you've been meeting up with your Little in person or virtually, please describe how your conversations have been going recently. What do you usually talk about? Has there been any significant change in their life, interests, or personality? * We talk about his friendships and relationships with other students and what he has been doing to stay active. No significant changes. What sort of activities have you been doing this summer (virtually or in person)? Have any ideas been particularly successful or challenging? Have you had a chance to try anything new or interesting? * Our interactions have been limited to one meeting and texting. No new activities. How will your Little be attending school this year? How do you plan to support them with adapting to changes in their educational environment? L_first_name notes that his school is doing a hybrid model and he?s not quite sure what his schedule will be like. As before, I will take tome to listen to his concerns and how he is doing in school and be flexible with his schedule. Have you had a chance to discuss a plan for safe in person meetups (now or in the future) with your Little's parent/guardian? If so, please describe the plan. I have not. Have you had any issues with communication, planning activities, or budgeting with your Little and their Parent/Guardian? If so, please describe. * No issues as I am flexible to meet as L_first_name?s schedule allows. Safety Policy Review: Involving others on match activities Mentoring can be hard work! Is there any way I can help make your match more successful? This form will count as your monthly support check-in. If you would like to schedule a follow-up phone conversation, please use this link to schedule a call : ( ) No needs at this time.
2021-02-09 BBBS February 2021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Na What activities (virtual or in-person) have you been doing? Please describe any recent highlights or challenges? * A couple of texts to see how they are doing. One email to L_first_name?s mom to gauge interest in BBBS activities being offered. Please describe how your conversations have been going recently. What do you usually talk about? Have there been any significant changes in your lives? * Just ask how they are doing. Please describe how you support your Little to learn, grow, complete tasks, or achieve go</t>
  </si>
  <si>
    <t>Match Rationale: 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 Dated Notes: 2018-04-30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actually called the match on one of their first two outings, so made a point to follow up the next week with BS. BS said things are going well from her perspective, and that the match has met up twice. MEC asked her what they have done together, and BS shared that the first time they met up, BS and Ls made cookies, and the second time that they got together, the pair made slime (the popular craft slime activity). MEC asked where they were doing these activities, and BS shared that they had done both of them at LS's house. MEC was a bit surprised to hear that, but BS stated that she felt it was good because BS and LS got to take it slow, and that they are going to go out and about for their next activity. MEC strongly encouraged this, and said that it would be great for them to get to explore the city a little. Tying that into a safety question, MEC had been told by the matching team that one of the things the pair really wanted to do was go to BS's house because she has quite a few animals (pigs, horses, chickens, even a peacock). MEC said he wanted to give a reminder that at home activities need to take place a few months into the relationship, and have prior approval from PG before they happen. BS said she was aware of this, and while they were very excited to do this as they think they will bond over it a lot, they are going to wait per BBBS rules. BS had no issue with this and promised to keep PG up to date and informed with her plans. MEC asked for other future plans, and BS said they are going to take some time to talk things over at the next meeting and really learn what BS wants to do. There may be a brief break over the first two weeks of May as BS has a business trip, as well as going to meet her new grandchild, a first for her. MEC congratulated her on this and asked BS to communicate this to PG, which she promised to do. Should be a good match, and MEC is looking for the pair to get some more outside activites planned.
2018-05-21 Question: Activities: Answer: MEC was able to speak to BS at the St. Paul Saints game and Picnic. It was good to get a chance to meet this match, which is still quite new. MEC asked how things were going, BS said good but that she was disappointed in the rain. BS had just gotten back from a work trip and a vacation, so they had had a brief lull in meetings, but are getting right back at it. BS reiterated the first two meetings that they had done- making slime as well as making cookies. The pair was good to see together, and they looked more natural than one may have expected at first given that both can be a bit more on the quiet side. MEC was able to observe the pair having good conversation, chatting, and looking like they were having an enjoyable time. This was their first meeting outside of LB's house, so overall, good to see them get out and having fun.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had three meetings, looks to be going well, MEC happy to see the engagement.
2018-06-29 Question: Activities: Answer: MEC had a very nice phone call with PG. The pair had a few struggles getting together in the month of June, but really both sides were putting a good effort to get together, things simple did work out. Over the past three weeks, PG had a surgery, a family member had surgery, the family went on vacation for a week and half, so there were some struggles to make times work. The good news, however, is that prior to that, things were going very well and they were getting together with regularity, after the saints game they had met up once more at the end of May. BS has shown a good job of making an effort by having a lot of contact with the family through texts and check ins. BS says that they appreciate this, and that she would like to get back on the contact schedule of meeting weekly starting back in July. As for things that the pair is looking to accomplish over the rest of the summer, BS asked for permission in July to take LS to her farm and show her the animals. MEC gave the okay as long as she acquired PG's permission, something BS said she would do. Other than that, they are signed up for the picnic and are looking forward to attending. MEC promised them it would be a good time and looked forward to meeting them all there.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had some challenges getting together but making an effort, no concerns moving forward, going to BS's house for the first time soon.
2018-07-30 Question: Activities: Answer: Support form gathered at BBBS Summer Picnic. Big: What is the best memory or story you have of your Little? Seeing her riding a horse for the first time. Little: How are you a good friend to your Big? What makes your Big a good friend? I treasure every moment with B_first_name and I make every moment count she have brought me to places that I?ve never been before and she tries to make my dreams come true. Big: What changes have you seen in your Little since you were matched? We are getting to be better friends and share more stories with one another. Little: Are you attending any summer camps, classes, or activities? No Do you need a follow up from Match Engagement to address any questions regarding your match? No. Email from MEC. ?Thank you for attending the picnic! I am so glad you got to go an look forward to seeing your Match at future BBBS events. Please remember if you ever need anything, I am available through call or text at phone_number or by email at email_address. On July 25th, the BBBS Community newsletter for August will be coming out, so look out for that!?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2018-08-23 Question: Activities: Answer: Very nice conversation with BS. The pair had attended the Summer Picnic, and the support form was very positive at that, so getting to check in with BS over the phone was nice. She stated that they had a fun time at the picnic, they tried a lot of activities, and they enjoyed being outside. MEC noted that one of the things they had written down on the form was that they had gone horseback riding at BS's place - MEC asked how it had gone. BS was thrilled to share about it - LS was extremely excited to go, and it was something that they had been talking about sine their match meeting. Everything went very well, and LS had a great time. Relating to safety, BS said that they took proper safety precautions, and everything went well. Additionally, BS organically brought up that while they had a lot of fun, she was aware of the BBBS guidelines for going to Big's homes, and said that they weren?t going to make it too regular of a visit, rather it would be a special visit every now and then to go to the home. MEC congratulated BS on the outing and was glad to hear that things were going well. MEC additionally encouraged BS to encourage the interest that LS had in animals, and thought that it could be developed in other areas outside of directly going to BS?s home. Finally, MEC asked if either of the two had any big plans before school starts - BS said she did not but LS was going to do a short trip with her family before school started up. BS had no other questions or concerns when asked by MEC.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make sure to continue to have safety conversations about visiting BS's home.
2018-09-30 Question: Activities: Answer: MEC was able to get a good check in done with BS, BS says that things are going well in the match, and they seem to be getting comfortable with one another. MEC did review the visits to BS's home, the pair love going there and spending time with BS's animals. BS has done a good job of limiting the trips, additionally she makes sure that there aren't any safety concerns when they are there. When they don't go to the house, they have done some fun crafts projects, they recently made slime which was fun for the pair. MEC asked how the meetings are going now that LS is in school, BS said it wasn't much of an issue. She did not school can be a little tough for LS, but that she tries her best. MEC encouraged her to talk about it with LS and role model positive behaviors, BS said that she would. No other safety concerns or worries from BS.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Pair is doing good, promote BBBS events and review safety policy for going to Big's house.
2018-10-30 Question: Activities: Answer: MEC was able to get a nice check in with BS. BS said that things have been going "well" and they have been getting together regularly. BS stated that they recently got together and went to a science event that BS's work was hosting within the community. MEC asked for BS to share more about what they did at the event, and BS said they made slime, programmed robots, and played with lizards. Overall, it was a good event. MEC asked how the pair is getting along, and BS said "well". MEC asked what the pair was thinking about doing in the future and if they had anything exciting going on, and BS said no, but that they were looking at the BBBS newsletter and calendar for upcoming events. MEC encouraged them to continue to look and shared that he was happy to help give advice if any was wanted or needed. For a safety reminder, MEC shared the BBBS pet policy and gave a reminder to slowly introduce to animals if they ever do.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going well, pair recently went to a BS work event and had fun, will look for the pair at BBBS events.
2018-11-30 Question: Activities: Answer: Good check in with BS. BS aid that the main activities they have done in the past month have been going to LB's house and checking out her animals, and doing arts and crafts at LS's place. BS says things are going well and that communication is going well with PG, which is nice to hear. As always with the match, MEC gave the reminder to have proper animal safety if they are going to be near them at BS's place. MEC asked how the relationship itself was going, and BS said that it was going well and that she knew LS enjoyed their outings. MEC asked if the pair had anything else exciting going on, and BS said not too much. MEC encouraged the pair to review the newsletter and see if there was anything else they were interested in. The pair met MEC at the spring saints game and MEC said that he would be happy to run into them again. No other questions or concerns, match is low key but doing well with one another.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Low key but solid match.
2018-12-12 Question: Activities: Answer: TMEC notes that Tanayszra &amp; B_first_name attended the Winter Picnic in December. They were introduced to a variety of activities such as an art project, service project, scavenger hunt and provided with some food vouchers for completing the support form. Their answers were as follows: 1. LittLe: Was there every an activity you didn't think you'd like that you actually enjoyed once you did it? Explain. Little said, "Yes, I thought that the zoo was gonna be boring just looking at the pumpkin carvings but it was fun and cool!" 2. Big: Does your Little communicate more easily with adults or peers? Why? Big said, "Both-I think-I don't see her often with peers". Little: If you had to eat the same meal for the rest of your life, what food would you choose and why? LIttle said, "Ice cream because it is good and there are plenty of flavors to choose from". 3. As a match, do you and your Little have a New Year's resolution or goal? Explain. They said, "Not yet" 4. The safety policy reminder was about the movie, video games, media, and internet policy. They were able to review and asked if they needed a follow up from Match Engagement to address any questions regarding their match? They responded, "no". TMEC didn't get a chance to speak to them but imagines they had a good time a the Winter Picnic. Based on their answers there are no concerns and no follow up is needed.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match attended the Winter Picnic and requested no follow up conversations.
2019-01-11 No Updates
2019-02-20 Question: Activities: Answer: MEC Introduced himself as new MEC, talked about the change in MEC MEC for some background on the match? BS said they get along really well, she gets a long with PG really well MEC asked if they have had any recent challenges? BS said the weather this winter has been challenging but they are working through it MEC asked how is communication? BS said she talks with PG on the regular basis- match is good MEC asked if they have any outings planned? BS said they have done some of BBBS bigger events, plan on attending more MEC asked if little is involved in any winter activities? BS said not that she is aware of, little is really into art MEC asked for any other updates? BS said recently little moved from a school environment to homeschooling- little had been getting bullied at school so this has been a change for the family BS said they talk about bullying and keeps little positive and it hasn't affected their relationship! BS had no other questions or concerns! MEC reminded of monthly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gets along really well, BS likes to attend BBBS bigger events with little!
2019-03-21 1. How many times did you get together with your little in February? I think only once due to my travel and weather. I text and talk with her mom more often. 2. What areas would you like to help your little grow in? She is very passionate about art. I would like to help her with that and explore some opportunities like ?Dare to Dream? 3. Do you feel that your match relationship continues to develop? Why? Absolutely. We are well matched and enjoy each other?s company. She is very creative and so am I. 4. How would you describe your overall mentoring experience? What has surprised you the most about being a Big? It is wonderful. It makes me feel good. I have actually developed a relationship with her whole family. 5. Do you have anything else you would like to discuss? Do you have any personal updates or questions? Upcoming Activities: March 30th: Match Wellness Workshop *Please see the attached document for a reminder of our policies / guideli nes Thank you! Take care,
2019-04-16 Match Anniversary: Reflection What is your favorite part of your match? or what makes your match special? Big: L_first_name is lots of fun to be with. She is a great artist and good story teller Little: B_first_name is fun and wise, she is truly a child at heart I admire her as my big she makes me smile What changes have you notices in yourself since being friends with your little/big? Big: I have enjoyed getting to know my little's family. I think about them and try to be helpful in small ways. I have gotten my friends and family involved too. Little: I have been more confident in myself as a person she makes, me smile and I stress less because of it What are 2-3 free or low cost activities you enjoyed together and would recommend to other Matches? We went to a horse show We made slime together We go to thrift stores looking for good deals
2019-05-14 1.Big: What are three activities you hope to do this Summer with your little? Swim and fish at the lake, go to the children Museum, hang out in general, take a mini vacation 2.Little: What is the most exciting thing you are doing this summer? Go to a water park 3.Big: How long are your outings usually? How many hours did you spend together last month? 2-3 hours , 8-10 hours 4.Little: What was the last activity you did together? How would you rate it on a scale 1 to 10? We went to Mother's Day brunch, 10 Child Safety Reminder: Do you need a follow up from MEC? No Please Circle how you felt about the activity and let us know if you have any feedback: Big-First smiley face , Little: Second Smiley face
2019-12-19 When MEC asked how things have been with the match, BS said that things have been pretty good. BS stated that LS is 13 and currently having problems with school because she is frequently late and misses the bus often. BS acknowledged that BS would also rather do art than school work because it's what she loves. BS stated that she has a good relationship with PG. Reflecting on the overview of teen programming, BS acknowledged that there are a lot of STEM opportunities , but none for artistic interests. TPC told BS that while we don't have any direct connections to artistic institutions, TPC encouraged BS and LS to visit spaces of LS's interest while taking advantage of college prep opportunities with BBBS. TPC also told BS about the Early Scholarship Program and told BS that she would circle back when applications open.
2020-05-29 TPC interacted with BS VERY briefly via text. TPC asked BS how things have been with LS during pandemic, and BS stated that she has communicated more with PG than LS during the pandemic, but things are going okay. When TPC followed up on previous conversations about LS recent diagnosis and if she's felt a greater impact during pandemic, BS never responded.
2020-10-28 BS is out of town visiting family. Her friends/family are safe and healthy. Match isn't meeting up very often but they have seen each other a few times in the last couple of months. They've gone to Dairy Queen and shopping. LS has been diagnosed with bipolar disorder LS has mood swings LS has had trouble in school but things seem to be going better now LS has a counselor at school who supports her PG can get frustrated with how the school handles LS' diagnosis BS and PG communicate well Sometimes LS' siblings tag along (we discussed why this is not ideal and I encouraged BS to talk with PG about getting the sibling signed up with BBBS so she could have her own Big) PG was going back to school for project management supervisor training but BS is unsure what her employment situation currently is BS has been out of town quite a bit over the summer College and Career Readiness LS doesn't like school but she is a really good artist They've talked about developing skills outside of school. I suggested a care package of art activities and supplies using her usual meetup budget. BS seemed to think this was a good idea. No other questions or concerns at this time
2021-03-18 BS reports that life is going well. No big changes or updates. BS reports the match has been going well overall. They are seeing each less often, but fairly consistently. PC said that oftentimes, consistency can be a better sign of the health of a match over frequency. LS recently got a phone, but doesn't respond reliably. PC encouraged BS to keep working directly with PG or engage in a 3 way text so that PG can hold LS BS and LS have been talking on the phone pretty regularly. H omeschooling has been hard for LS but she is doing okay. LS' little sister has been having a much harder time with homeschooling. PG got a new job. Talked CCR: LS showed BS her art. BS said LS is really talented. PC encouraged BS to talk with LS about art classes at school and in the community. BS mentioned that LS doesn't have as much fun in classes because she feels confined by the assignments LS was having episodes of depression at the beginning of quarantine. BS thinks she is on medication and receiving professional help. PC shared more information about the BBBS newsletter and BBBS programming No other questions or concerns at this time
2021-06-27 BBBS June 2021 Check In Form Please provide your full name and any recent updates to your contact info (phone #, email, street address) * B_first_name B_last_name How many times have you met up (virtually or in-person) with your Little since your last check in? Give your best estimate * Maybe 3 How many hours do you typically spend together? * 1-2 What activities (virtual or in-person) have you been doing? Please describe any recent highlights or challenges? * Mostly talking about art and family Please describe how your conversations have been going recently. What do you usually talk about? Have there been any significant changes in your lives? * No big changes. Her sister is gone for the summer. Her mom is working full time. Have you ever played a game with your Little? If so, what are your favorites? * No Are there any games that you hope to play with your Little in the future? Please describe below * Yes. Sequence and hearts Have you and your Little ever worked on a project or task together? If so, what did you work on and how did it go? * Yes. Art projects and crafts Are there any projects that you hope to complete with your Little in the future? Please describe below * Yes. More art projects and crafts. Do you need any support from me (your Program Coordinator) to brainstorm new games or projects for your match? If so, how can I help? * No Has your Little recently expressed what they're considering when it comes to life after high school? Is there anything they are passionate about? * Passionate about art/drawing How can you help your Little learn more about college and careers? Do you need additional support from your coordinator with this? * Not at this time. Have you recently discussed your plan or specific rules for safe in person meetups with your Little's parent/guardian? If so, please give me an update: * I talked to Jovan on a regular basis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 * We are good
2022-02-11 I called BS after receiving negative and concerning feedback from PG and LS. I shared a summary of the very long conversation I had with PG and LS during which they repeatedly affirmed their desire to end the match as soon as possible. Their justification was complex but centered around a few things: lack of a strong connection -- PG and LS both expressed that the bond between LS and BS isn't very strong. They don't have a deep bond erosion of trust -- PG and LS feel like they cannot count on BS to accommodate their needs and adhere to BBBS guidelines. They accuse her of things like inviting other people to attend meetups without informing them, not driving safely, and using guilt or shame to make LS feel bad about missing meetups or not wanting to do certain activities clash of personalities -- PG and LS both expressed that BS can be controlling and judgmental. They said BS would use guilt to manipulate LS into doing activities she wasn't interested in, cast judgment on their lifestyle, and disrespect their boundaries (e.x. entering their home uninvited during pick up/drop off and making comments about cleanliness). PG and LS also referenced alleged behavior in PG's personal life, accusing her of being a "stalker" whose ex-husband put a restraining order out on her. LS expressed fear that BS would "show up at their house" after closure, however, PG did not share the same concern. failure to adhere to the BBBS policy of 1-1 meetups -- PG and LS indicated that BS would frequently have other family members present during their meetups. BS' son was brought up a few times as someone who was around often. BS' son is an "adult," which made PG especially concerned. using guilt to emotionally manipulate -- as noted above, PG and LS said that BS would hold things like the cost of a ticket for an event over LS' head and make her feel bad for not wanting to go or not being able to go issues with planning and communication -- PG believes that PG has "a lot going on in her life" that have led to poor communication and inconsistent meetups. inability to accommodate LS' mental health -- as noted above, PG and LS expressed that BS would not accommodate LS' mental health needs during certain meetups. From what I have been told, LS suffers from social anxiety and some form of bipolar disorcer. They repeatedly mentioned LS' social anxiety around groups of people, especially new people. The "last straw," as PG put it, was a recent outing to the zoo. PG and LS were under the impression that the meeting would be 1-1 and they were surprised and upset to learn that members of BS' family were meeting them there. While at the zoo, LS' social anxiety was triggered and she desired to leave. LS claimed that she asked BS to take her home during their meetup. BS was allegedly insistent that LS should stay and used language that felt manipulative. PG and LS shared that this was same type of guilt tripping that was pervasive in the relationship for a very long time (e.x. BS would hold the price of admission or the logistical effort she had to invest into an activity as a means to make LS feel bad for not wanting to do an activity). LS claimed that she reached out to PG via SMS while they were at the zoo and asked PG to convince BS to take her home. PG and LS believe that BS ignored PG's outreach and coerced LS into staying the whole time. PG claimed to reach out to another family member/family friend to have them pick her up from the zoo as well. PG and LS claim that LS had a panic attack when she returned home from the zoo. PG and LS feel like this incident pushed the relationship past the point of repair. They no longer feel like they can trust BS to take care of LS and be responsive to her needs. PG also feels like LS has grown a lot and has a much stronger support system around her than she did when the match was introduced. They accuse BS of being controlling (using guilt on LS), inconsistent with meetups (changing plans last second), and judgmental of their lifestyle (making comments about the cleanliness of their home and LS contributions to household chores). PG made comments that BS "has a lot going on in her personal life" and doesn't handle rejection well. PG and LS also shared that BS would get into arguments with her son in front of LS and these made LS uncomfortable. PG is especially concerned that BS' son is around sometimes because he is an adult (age unknown). LS' concern about BS' family being around centered more around feeling left out, but not necessarily threatened or unsafe. The legitimate safety issue LS is more concerned with is mental/emotional, as she struggles to be around too many people, especially those she doesn't know very well. LS also accused BS of inattentive driving (texting) and veering out of the lane. LS no longer looks forward to seeing BS and would like to close the match. After sharing this information, BS immediately expressed that she was surprised, perhaps even shocked, to learn that PG and LS were feeling this way. BS shared that they had not been meeting up very much recently and that these concerns had never been brought to her attention during the 3.5 years they were together. BS said that they had visited the zoo before and there were no issues. BS shared that the family would send LS' brother along on meetups on multiple occasions. In fact, LS' brother was tagging along on their last meetup at the zoo (a pretty significant fact that PG and LS failed to disclose to me). BS said that their families have had multiple interactions and she never sensed there were any issues or discomfort. BS did not realize the trip to the zoo was so "problematic" and wishes that PG would have reached out to her directly before choosing to close the match. BS' side of the story is that she already had plans to go to the zoo with members of her own family. She ended up with extra tickets and reached out to PG and LS to see if LS would like to tag along. BS admitted that she is unsure whether she told the family that her family would be attending. BS was supposed to pick up LS at 10am but PG wasn?t home. BS picked up PG from work to go pick up LS. BS son drove BS and LS to the zoo (unsure whether BS' son was driving to transport PG from work). BS said that LS has met her son more than once and the family never expressed any concerns about him or their relationship (specifically, the alleged arguments). BS sensed that LS was losing interest at the zoo and not having a very good time. BS claimed that she was in contact with PG via SMS while they were at the zoo and refuted that she ignored PG's outreach. BS shared that LS would often have sudden mood swings and lose interest in activities that she had willingly agreed to take part in. BS said that this was a very common issue in their relationship that she has regularly discussed with PG. BS has been aware of LS' mental health challenges (bipolar disorder and social anxiety) and has requested PG's support several times on how to best support LS. (previous MSC's support these claims) BS said that she is often faced with the conundrum of encouraging LS to "push through" and stay engaged with an activity vs. taking her home and potentially missing a fun opportunity. BS said that this trip to the zoo was one of those cases. BS reaffirmed that she has spoken with PG about this multiple times in the past and requested her guidan</t>
  </si>
  <si>
    <t xml:space="preserve">Match Rationale: 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 Dated Notes: 2020-01-10 Match attended January MCP. Matches focused on learning about themselves and their relationships, as well as getting to know the other matches there. Between the group question ball, friendship values craft, and the diary/scrapbook, matches were talking about ways to celebrate their relationships.
2020-01-14 BS reports the match is off to a good start and they are meeting up consistently. BS feels the relationship is developing slowly but LS is starting to open up more. She understands this is normal and will take time to reach a deeper level. Went to the library for their first meetup to do a craft. Second, they went to an Italian restaurant and LS made balloon animals for her. Third, they went to a MCP and LS said it was nice to see other matches. LS is quiet and reserved so PG is going to help LS make a list of things she wants to do. PG comms are very good and they are having face to face check ins. Big App is up and running. Reviewed child safety policy and emergency contact Pushed BBBS events
2020-02-07 February Online Check In Form Please provide a brief update of your match. What activities have you been doing? What's new and exciting? Have you faced any challenges? REFLECT &amp; SHARE: * We matched in December and we have met up 5 times since then. We have done everything from arts and crafts to swimming. L_first_name is opening up to me a little more each time so it is very exciting for me to see progress in that realm. We have not encountered any challenges thus far.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How do you personally model expressing care when you?re with your Little? * I model care by asking question and listening to L_first_name--whether that be about school, sports, home, along with asking questions about past events she's done. Along with asking questions and showing interest in her life I do my best to show her and illustrate that I am listening to her and I do care about what she has to say along with her opinions. How does your Little express care in the relationship? Is their approach different than your own? * I think she expresses she cares a little different than myself as she has not really asked about anything in my personal life/does not ask me questions in general. However-- she is getting more outgoing each time we meet so that gives me a belief that she is starting to trust me and wants to hangout with me. Please describe any recent significant changes in the lives of your Little and their family (moving, new phone #, death/illness, new job schedule, etc.)? Do you anticipate any challenges for your Little or their family as we approach winter? * I do not anticipate any challenges If you feel comfortable sharing, please describe any recent significant changes in your life? Have you shared this with your Little and their Parent/Guardian? * As of now I have not had any recent life changes. Have you had any issues with communication, planning activities, or budgeting with your Little's Parent/Guardian? If so, please describe. * No! Child Safety Policy Review: Illness and Injury I have read and fully understand the above child safety policies Mentoring can be hard work! Is there any way I can help make your match more successful? This form will count as your monthly support check-in. If you would like to schedule a follow-up phone conversation, please use this link to schedule a call : ( ) As of now no! Thank you
2020-03-04 BBBS March 2020 Check In Form Please provide a brief update of your match. What activities have you been doing? What's new and exciting? Have you faced any challenges? REFLECT &amp; SHARE: * We were not able to meet up in the month of February. I was sick with a cold for over a week and then days later got the flu which led me to stay home for over a week. With being sick I did not want to expose any of L_first_name's family members along with L_first_name herself. I tried to reach out at the end of the month--however, L_first_name was going on a trip so we planned to catch up once she returns. Challenging growth focuses on the ways we encourage, inspire, push, or otherwise influence each other to try new things, take risks, pursue goals, or overcome obstacles and challenges. Successful matches use a caring and supportive approach, grounded in trust, to explore new or existing interests and maximize each other's abilities. If you're at the beginning of your relationship, it may not be the best time to push each other too hard or get too far out of each other's comfort zones. Instead, ask questions to learn more about each other's interests, abilities, and motivations. Develop trust with open and honest communication. Actions you can take: Share power in making decisions for where you go or what you do for your outings Encourage each other to try something new, develop a skill, or gain knowledge in a subject that interests you Set goals and hold each other accountable Acknowledge and celebrate the obstacles or challenges each of you have overcome Based on the description above, how do you challenge your Little to grow? Share a specific example if you can. * With L_first_name and I only knowing each other for a couple of months-- I do not push her too far out of her comfort zone. If she does not feel comfortable to share, I usually tell her its okay if she doesn't want to share and direct her to a different topic/question. How has your Little challenged you to grow? Share a specific example if you can. * She has challenged me in a different way. I am the type of individual who likes to push people to go outside of their comfort zones, along with to be the best person they can be and to take jumps and leaps. L_first_name is only 10 and while she has opened up to me, she is more of a reserve individual which has challenged me to take a step back and to find other ways I can help her grow as an individual without being too "pushy". Please describe any recent significant changes in the lives of your Little and their family (moving, new phone #, illness/death, new job schedule, etc.)? * n/a If you feel comfortable sharing, please describe any recent significant changes in your life? Have you shared this with your Little and their Parent/Guardian? * One of my sister's close friends passed away a week and a half ago which lead me to go home and spend time with my sister. I informed Cheryl as it also contributed to me not being able to spend time with L_first_name this month. Have you had any issues with communication, planning activities, or budgeting with your Little and their Parent/Guardian? If so, please describe. * N/A. Safety Policy Review Riding in Motor Vehicles and Supervision: When riding in or operating motor vehicles: General safety rules must be followed, including wearing seat belts, helmets, and life preservers. Connect with parent/guardian about whether they should sit in the front or back seat of the car. Supervision of Little: Bigs are responsible for the supervision of Littles at all times during a match activity, so do not leave them alone or with someone else. Mentoring can be hard work! Is there any way I can help make your match more successful? This form will count as your monthly support check-in. If you would like to schedule a follow-up phone conversation, please use this link to schedule a call : ( )
2020-04-23 April Online Check In Form Please provide a brief update of your match. What activities have you been doing? Have you faced any challenges with connecting remotely? REFLECT &amp; SHARE: * We have not been able to meet with the restrictions put in place because of COVID-19. However, I recently sent out a letter to her that way we are able to still stay in touch in a fun way. We also are finding times to FaceTime one another. Are you and your family safe and healthy? Do you feel like you have enough resources to get through the quarantine? Is there anything you are particularly concerned about that I can support you and your family with? * I feel like I am very healthy and safe while still working at the hospital during this time. I do not think there is anything I need. Has the virus quarantine affected your employment? Do you work in a "critical sector" like healthcare, childcare, grocery store/food delivery, etc.? Are you facing any financial challenges that I can support you and your family with? * at this time my family has not had employment issues. Both my wife and I are able to work from home. Have you been able to connect with your Little's Parent/Guardian since the quarantine started? Have you had a chance to connect directly with your Little over the phone, internet, or mail? What sort of activities can you do remotely? * Text only thus far. Is your Little and their family facing any challenges related to the virus quarantine? Is there anything I can do to support them? * Not that has been reported to me. Have you had any issues with communication, planning activities, or budgeting with your Little and their Parent/Guardian? If so, please describe. * No Safety Policy Review - COVID-19 basics from the CDC website Mentoring can be hard work! Is there any way I can help make your match more successful? This form will count as your monthly support check-in. If you would like to schedule a follow-up phone conversation, please use this link to schedule a call : ( ) I appreciate the remote activity ideas - please continue to share these.
2020-06-08 BS said she is doing well and the George Floyd events didn't really affect her or her friends/family. MEC encouraged BS to talk to PG about the issue so they are on the same page in providing support to LS, who may have thoughts she'd like to process or questions about what happened. BS agreed and will do so. BS wrote LS a letter and sent her a craft kit last month They've been texting back and forth since then Next, BS is planning on going to LS' surprise drive by graduation (5th grade) MEC encouraged BS to talk about transition to middle school with LS and to share some of her own positive/negative experiences. MEC informed BS of the next phase of advisement on in person meetups No other questions or concerns at this time
2020-07-30 BBBS July 2020 Check In Form REFLECT &amp; SHARE: Please provide a brief update of your match. What activities (virtual or in-person) have you been doing? Please describe any recent highlights or challenges? * Since the last time we chatted?I was able to see her for her drive by 5th grade graduation party (I cannot remember when as the weeks blurr together). I have not been in contact recently but wanted to give an update on my living situation but I did want to hear back from you to make sure everything is still good to go. Like I mentioned before?I had to move kind of last minute because of everything happening and financial reasons I was able to find an apartment that fit where I was and my hours at work were being cut so I didn?t want to get an apartment I may not be able to afford months from now. With that being said I still am coming to the cities to work every other weekend and am staying at a friends house during this time and still will be able to plan meet ups with L_first_name. Like I said I didn?t tell her yet or Cheryl just because I wanted to make sure this was still OK. Whether you've been meeting up with your Little in person or virtually, please describe how your conversations have been going recently. What do you usually talk about? Has there been any significant change in their life, interests, or personality? * I have not been able to reach out recently as life has been sort of crazy with moving and my sister getting COVID but I do plan too in the near future! What sort of activities have you been doing this summer (virtually or in person)? Have any ideas been particularly successful or challenging? Have you had a chance to try anything new or interesting? * I have not been able to try anything new but I have been able to read a lot more which I enjoy! Have you had a chance to discuss a plan for safe in person meetups (now or in the future) with your Little's parent/guardian? If so, please describe. n/a Have you had any issues with communication, planning activities, or budgeting with your Little and their Parent/Guardian? If so, please describe. * We have not been meeting up just because we were not sure about the BBBS policy as we had the initial email to suspend all meet ups but we weren?t aware we were able to get back together so I will have to reach out! COVID-19 basics from the CDC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
2020-08-10 MEC introduced herself as the new Match Coordinator and was able to connect with Sieirra via phone after she reviewed the email. MEC offered a variety of activity ideas/resources and encouraged her to reach out. MEC asked for updates. She said, ?I moved. I still worked at Masonic Children?s but my hours were cut. I was living with 2 college roommates for a while and wasn?t able to stay living in the twin cities. I am now living with my sister in Sartell? MEC asked if she has been in communication with Cheryl at all. She said, ?I did tell Cheryl and was going to reach out to her again and see if we can go from there. MEC asked if they have discussed in person meetings. She said they have not. MEC reviewed the safety precautions for in person meetings during COVID. MEC asked her to sign the waiver which she agreed to do. She noted, ?With the move and everything, I reached out to her a week or two ago. Cheryl didn?t respond. I was going to reach out again this week and see if Thursday if we can go for a walk.? B_first_name updated MEC with a text message saying they connected and plan to go for a walk on Thursday. MEC asked if she and L_first_name have been in communication at all. She said, ?We met for an outdoor in June or beginning of July. They did the drive by 5 th grade graduation. L_first_name sometimes texts me from her mom?s phone.? MEC inquired if they talked about the aftermath of George Floyd at all. She said they hadn?t but she did discuss what to do with the previous coordinator. She said he sent quite a few resources for this and encouraged her to see if L_first_name brings it up AND to connect with Cheryl about it.
2020-09-21 MEC reached out via email sharing BBBS News, BBBS Match Portal Activity highlights, and the in person meeting guidelines. MEC provided the option to check in electronically or via phone. B_first_name completed the google form check in online. See below responses: Timestamp 9/20/2020 15:47:12 Email Address email_address Please enter your first and last name. B_first_name B_last_name Share some examples of what your match has enjoyed doing virtually with one another. (If your match is not meeting virtually, please simply state that) We have not met "virtually" yet. What are the components of your culture that are most important to you? How might these play a role in your match relationship? I believe religion and education are the components of culture that are the most important for myself. I have never discussed religious beliefs with my little, however, I do know her and her family go to church and have bible studies that L_first_name attends. Having this similar upbringing with my own family allows me to understand the importance that these bible groups play on her development and her beliefs. Mentoring can be hard work! Is there any way I can help make your match more successful? At this point no! This form will count as your monthly support check in. If you would like to schedule a follow up phone conversation, please use this link to schedule a call- ( Thank you.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have went for a walk around her neighborhood. MEC responded via email, "Hello B_first_name, Thank you for checking in. I hope all is well in Sartell with your sister. Is there something I can do to help you get connected virtually? We have put together some 2 minute videos to help support matches. Virtual Meeting Basics for Bigs: Staying Connected Virtually Please let me know if you have any questions or concerns. Thanks, Jeanna"
2020-10-27 MEC reached out to Bigs with a mass email outlining the revised in person meeting policy during COVID times. This revision included riding in vehicles together and the precautions outlined to do so. MEC also connected matches to a variety of activity ideas form the BBBS Newsletter, the Match Portal and the BBBS Blog. MEC requested a check in either via google form, schedule a time via acuity or give MEC a call. B_first_name responded via the online check in. Timestamp 10/19/2020 18:51:11 Email Address email_address Please enter your first and last name. B_first_name B_last_name With your best guess, how many hours did you spend with your Little this last month? (either virtually or in person) We did not meet Share some examples of what your match has enjoyed doing virtually with one another. (If your match is not meeting virtually, please simply state that) We have not met virtually. I have offered to meet via FaceTime, however, have not been able to plan/get a time that would work as my little does not have a phone and she would need to use her moms. Which of these characteristics do you find yourself incorporating the most in your match? How do you personally model expressing care when you?re with your Little? I believe that when interacting with my match I am warm along with genuinely listening to L_first_name. I frequently ask her about things she has mentioned to me previously and see how these things went (sleepovers with friends, activities with school, and sports). I also encourage her with things that I learn she has done or accomplished and do my best to make her feel valued. How does your Little express care in the relationship? Is their approach different than your own? My little is young (6th grade) and with this relationship she is very shy at first, however, I feel like her personality is very warm. She is a bubbly 6th grader who goes with the flow and our conversations vary time to time but she does listen and shows she is listening by responding or non verbal cues which make me feel heard. Our In Person Meeting Guidelines (due to COVID) have changed recently. A more formal communication &amp; resources has been emailed to all participants. You may review the guidelines on our website - Do you have any questions or concerns? How do you see this impacting your match? It might be a little challenging with it starting to become cold and having all of the windows down for me driving her (however I am not opposed). I know L_first_name's mom is very busy and has another younger son so it might be hard if she had to drop L_first_name off places, however, this is something that Cheryl and I can discuss further. Mentoring can be hard work! Is there any way I can help make your match more successful? It has been a little challenging to connect (whether that be virtually or in person) and I believe Cheryl has a lot going on right now so I do not want to make this an added stress. I would like to maybe suggest other virtual ideas but do not really have any things in mind. Any suggestions would be great help as I don't really know of any activities we can do other than FaceTime and sometimes it is hard to keep L_first_name engaged in a conversation. This form will count as your monthly support check in. If you would like to schedule a follow up phone conversation, please use this link to schedule a call- ( Thank you! MEC responded to B_first_name via email, "Hello B_first_name, Thanks for the update on your match that you submitted using the online check ins. I'm sorry to hear that it's been difficult to schedule a time with L_first_name. I realize that matches struggle a bit more when they have to use a parent phone for your check ins. Do you think it's an option to use her school device? Sometimes it's' work, but it depends. I'm guessing she likely has one, but not sure. In response to your questions regarding Virtual Match Activities, please make sure to review the newsletter that you should be getting at the beginning of each month. There are always a lot of activity ideas in there. If you haven't seen the newsletter, I encourage you to check your "promotions" or spam mail. It's likely there somewhere! Also, we have a BBBS Virtual Mentoring Portal that you can access from our main website bigstwincities.org under the "Bigs Only" tab you'll see a drop down menu and a virtual mentoring option. Click on this and it will take you to a new google site we create for virtual mentoring. I hope this helps! Let me know if you have any other questions and keep in touch as able. Thanks, Jeanna"
2020-11-24 MEC reached out to ALL BIGS via email blast inviting them to attend the Virtual Bigs Hang Out. This communication linked to the November Newsletter, COVID In Person Meeting Guidelines, the BBBS Mentoring Portal and November Event registrations. MEC also included some resources for Little's families. This Big responded via google check in as follows. Timestamp 11/24/2020 10:00:05 Email Address email_address Please enter your first and last name. B_first_name B_last_name With your best guess, how many hours did you spend with your Little this last month through video call, text, or phone conversation? 1-2 With your best guess, how many hours did you spend with your Little this last month through in person meetings? We did not meet in person last month. Every match is unique in it's strengths &amp; challenges. Do your best to implement the following tips for a video call with your Little. (Check off the tips if you think the tip has worked or might work for your match). If you haven't tried a video call yet, please try to develop that ability. Most kids need to do 20-30 minutes of daily reading. Is there a book you can read together?, Find our what your Little's academic needs are. Would they like help with an assignment?, Mail your Little a follow note &amp; small item that relates to your activity conversation Which of these characteristics do you find yourself incorporating the most in your match? How do you balance challenging growth with expressing care, sharing power, expanding possibilities, and providing support? I think I incorporate stretch the most in my match. Throughout my interactions with my little I am always trying to push her to think along with reflect a little deeper in what I am asking or in her responses. I always do my best to let L_first_name know that I care about her and that if she ever needs anything that I am always available to listen and be there for her. BBBS has, on many occasions, communicated our In Person Meeting Safety Guidelines that are also located in our Big Blog. Below are some highlights! Meeting in person is NOT required. Please check off the guidelines as you read them. I know where to check the blog at Bigstwincities.org, I have access to updates via the Big App Is there anything you would like more guidance or ideas from your Match Engagement Coordinator about? As of now--no! Thank you! This form will count as your monthly support check in. If you would like to schedule a follow up phone conversation, please use this link to schedule a call- ( MEC responded via email to B_first_name, "Hello B_first_name, Thank you for completing the online check in. I just reviewed your responses and am glad to hear of your continued connection with L_first_name. Stretching L_first_name while expressing care and being consistent in her life is an important combination in the developmental relationships. Thank you for the thoughtfulness in your connection with her! I see you know where to find the updates regarding activities. Please feel free to reach out as needed and I wish you a very happy holidays. Jeanna"
2021-01-07 MEC reached out to B_first_name multiple times: Happy Holidays To You! One last push to have a lite check in! How?s your match going / Share what you?ve been up to.. Do you have any questions or concerns? I wanted to share that our in person meeting guidelines were updated last week after the Governor?s announcement. It's up to each match to discuss their preferences around meeting up in person. Here is the link: Dec 16, 2020 Updated COVID In Person Meeting Guidelines . Winter Activity List: Please reach out as needed. Happy Holidays! Be well and take care, Jeanna JEANNA VAZQUEZ Sr. Match Engagement Coordinator Big Brothers Big Sisters Twin Cities email_address SIERRA RESPONDED TO MEC: Jeanna, Happy Holidays to you as well! I am sorry that I did not reach out to you it just has been a crazy few weeks and I glossed over it in my emails. To respond to your check in: I think our match is going great (for the circumstances that we have been challenged with this year). Like I mentioned at that last check in L_first_name just got a phone so I have been reaching out though via text and asking her about school, holiday plans, along with other things. I also have touched base with Cheryl to see how things are going. With myself having COVID at the end of Nov./beginning of Dec. we were wanting to push back in person meetings just because up until this week I was showing symptoms and I just would rather be safe than sorry. I have one question to you and I do not know if Cheryl reached out to you because she was not sure when I last touched in with her but I did get accepted to medical school and I will be moving to CO come May/June. I do not have a set date yet for me moving but I wasn't really sure what our next steps would be moving forward. Again--this would probably depend on what Cheryl &amp; L_first_name would like to do but I do not really know how to go about it. I still want to be L_first_name's big and want to be that mentor for her as long as I can but I understand as well if she was wanting to try to be matched with someone else. I do not know what Cheryl's plan is but we just both thought to as you and see what you think would be best. I appreciate all of your help and feedback. I hope you have a great holiday and stay safe! Best, B_first_name B_last_name MEC RESPONDED VIA EMAIL: ? Hello B_first_name, Thank you for responding to my email. I have been out of the office for a bit so it has taken me a little while to get back. I appreciate your communication with Cheryl &amp; I regarding the move. Congratulations on being accepted to Medical School! That is so exciting, but I imagine you're feeling a little nervous as well! A few things to consider. If your match closes, any contact would no longer be through BBBS but it would be up to you how you'd like to go about staying connected if you chose to. It is certainly an option to stay matched if you think you'll be able to maintain some level of contact virtually while you are away. (I imagine that may be difficult but I have had Bigs in medical school before. It is not a 100% that L_first_name would get a new Big Sister. I think it's pretty likely though. What does L_first_name want? Have you discussed it with her yet? How I can help. If you choose to stay matched but want to "Redefine" your match, I encourage you to check out this resource I made. Redefining Your Match . Redefinition is a positive &amp; mutually agreed upon process that can help Bigs &amp; Littles/Families strengthen &amp; build their relationships. It can take on two forms. Rejuvenation - Recommitting without changing the terms. Renegotiation - Changing the responsibilities or terms in some way. I encourage you to discuss with L_first_name and give her some options that you think are realistic and feasible for you. You can also ask Cheryl to talk to her. The two of you can decide together what approach you would like to take. I can also talk to her if you'd like. I wanted to share that our in person meeting guidelines were updated last week after the Governor?s announcement. It's up to each match to discuss their preferences around meeting up in person. Here is the link: Dec 16, 2020 Updated COVID In Person Meeting Guidelines . Winter Activity List: Please reach out as needed. Happy New Year &amp; National Mentoring Month! PLEASE NOTE: My work cell phone number has changed. It is now phone_number Please let me know if you have any other questions and please keep me posted. Thank you!
2021-03-23 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B_first_name emailed MEC: Good Afternoon Jeanna, I know I emailed you a few weeks or months back letting you know that I was going to be moving to CO and starting medical school in July but I just wanted to update you a little bit and ask for your opinion on things. I do not know the process on things and so I figured to start thinking about the next few months sooner rather than later. I did inform Cheryl in Dec. that I would be moving and we did discuss having L_first_name &amp; I staying pen pals along with staying in touch as much as we could. I did just finalize a lease in Parker CO so I will be moving to my new home on May 26th. I wanted to reach out to Cheryl to inform her on everything and touch base with what she was planning to do with L_first_name (whether that be to have her in the program applying for another big or what her thoughts were)--however L_first_name told me early last week that her mom was just getting back from the hospital as she ended up having COVID and I did not want to really bug her while she is still resting and healing as I know how much of a toll it does take on the body. She told me she was going to reach out to you but I am not sure if she did. If L_first_name does want to be placed with another Big is there something I need to do so she is able to do that and if so is it Cheryl needing to reach out to you or will you reach out to her? I know that it does take some time to match littles and bigs and I am just thinking about the summer and how it would be nice if she does want another big to do some fun summer activities as it has been a whirlwind of a year. I feel like I am blabbing on I just have not had to navigate this situation before and don't want it to seem like I am just walking out of L_first_name and Cheryl's life. I look forward hearing back from you, B_first_name B_last_name MEC responded via email: Hello B_first_name, Congrats again on starting med school! I'm glad to hear things are coming into place for you and you've been able to sign your lease. Sorry to hear that L_first_name's mom has been in the hospital with COVID. It can be scary stuff. How does L_first_name seem </t>
  </si>
  <si>
    <t>Match Rationale: 1. Distance: 14 miles (18 mins) 2. Shared Traits: Both are friendly, talkative, polite, curious, energetic and respectful. 3. Shared Interests: Both love math, engineering, active outdoorsy, animals and trying new things. ***Both family and BS are open to cross-gender matching. Dated Notes: 2021-04-27 Match registered for BBBS event: City T(our) Challenge at Minnehaha Falls hosted on 4/24/2021. Attended No First Name B_first_name Last Name B_last_name Email email_address Little L_first_name L_last_name How does your match decide what to do, and what events or activities do most like to do together? We have only met once, but we like to do outdoor activities. How does you Little share their opinions, likes, and dislikes? He is not shy about being bored with an activity or what he wants to do. How many times have you connected with your Little (in-person or virtually) since your last contact? 1 How many hours does you match usually spend together? 2-3 hours Child Safety Policy Reminder- Sickness &amp;amp; Injury accepted This registration counts as your required monthly/quarterly contact with BBBS. Do you need a follow up from your Match Engagement Coordinator to address any questions regarding your match Yes, but it's not urget. MEC followed up with everyone in the match via email: Greetings Aminah, L_first_name, &amp; B_first_name, I noticed that L_first_name and B_first_name were unable to attend the BBBS event: T(OUR) City Challenge at Minnehaha Falls this past weekend and I hope the match will be able to join one of our other upcoming BBBS events, please check out our BBBS April Newsletters for our upcoming virtual and in-person events that may be of interest as well as tons of other information?below are both the April Newsletters: · BBBS Bigs April Newsletter · BBBS Parents/Caregivers April Newsletter Please reach out as needed! Happy Tuesday! :)
2021-05-31 MEC reached out to all Bigs via email with a variety of communications. Options to check in were given, including drop in virtual time, phone or setting up a meeting option, online survey, and texting and email options. On 5/29/2021 MEC was able to reach Big via phone call and asked the following: · Give me one word that describes how your heart is doing today. How?s the match doing? · How would you describe your Little?s personal boundaries? · What are some of your favorite and least favorite things to do with your Little? · How does your Little interact with other children? How do they interact with adults they have never met? Has your Little mentioned being bullied or teased at school? · What kinds of activities would you like to see offered by BBBS? · What questions or concerns do you have for me? Pam stated that she was on her way to drop off L_first_namel at his home. The match attended TCC at the state capital today. The match is doing well and Pam had no questions or concerns for MEC. LB L_first_name chimed in and said that he is really appreciative of the match and had a lot of fun at the state capital.
2021-06-11 Match attended an in-person BBBS event Tour City Challenge at the State Capital and completed the in-person SCF: BBBS Question for Both: Is it easy for you to share your opinions or feelings with others? Who are people that you feel most comfortable sharing with Match responded: ?sometimes it?s hard but it depends how we?re feeling. Best/easiest with people we trust.? BBBS Question for Little: Today you learned a lot about MN hstory, what was the most interesting or shocking thing you saw today? How did it make you feel? Little Responded: ?Learned about the Korean war? BBBS Child safety policy reminder regarding involvement of family members/friends on match activities: Both accepted?no questions No request for MEC follow-up ?Big noted: ?we?re meeting regularly and are getting along pretty well?
2021-09-03 MEC reached out to all Bigs via email with a variety of communications. Options to check in were given, including drop in virtual time, phone or setting up a meeting option, online survey, and texting and email options. On 9/1/2021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Pam stated that she?s well and recently started a new job. The match has been good, she?s been meeting with L_first_name pretty consistently every 2 weeks but this may change with her new job due to availability changing but she?ll check in with PG and work it out. They?ve been hiking, to a game, walked around a lot around his neighborhood and it?s been great getting to know him. Pam did stated that something difficult that?s come up is that LB gets a bit overexcited sometimes and will talk to anyone who will listen and seems not to get cues when people are over the conversation or that they?re ready to talk about something else. He?d more just talking but not engaging in conversation?not actively listening and stated she?s never seen that before and wasn?t sure how to respond or what to say to L_first_name. MEC has some experience with this and talked through some tips they can start trying out together: MEC encouraged Big to explore with LB if his excitement is coming from the activity they?re doing or if it?s a sensory processing sensitivity e.g. lots of people, loud noises etc. then together they can start mapping out cues for when L_first_name may be overcompensating and thus oversharing/over engaging with others. MEC encouraged she start asking things like: "Are you using your inside voice or your outside voice?" "Does your body feel tense?" "Do you notice other kids moving away from you?" Then, together come up with a signal or a word that you can use to let him know when you see an overexcited behavior cue or that he can use to let you know he's getting over excited. When either of you use the signal agree that you'll both practice some calming exercises or activities (like mindfulness or breathing techniques) and/or agree to switch gears. MEC will also send BS a mindfulness guide that she and LB may work on together so that LB has some support around self-regulation and so that as a match they can start exploring social emotional skills. Pam was open to this coaching and agreed to try out the mentioned tips. MEC followed up via email: Happy Friday Pam, Thanks again for checking in this week! I'm glad things are going well between you and L_first_name! So happy that your friendship is developing and that you're both having fun exploring different activity ideas! As promised, attached you'll find the self-care/self-love mindfulness guide (for Bigs and Littles). There are activities you can try together or decide to do apart. For activities you do apart, it's a good idea that when you do meet, you both still process the activity together by: · Talking about what you learned; · Self-awareness you gained and how you plan to incorporate it in your daily life; · How the activity made you feel, what you liked/didn't like about the activity etc. · Continue the conversation around self-care and self-love even after you've finished the guides and continue to promote this healthy self-awareness. These activities, promote a healthy lifestyle of self-compassion and empathy for both ourselves and others. Let me know if you'd like these guides printed and mailed out. I hope they support L_first_name as he continues learning about his own self regulation and social emotional skills. Keep me posted if I can be of any other assistance to your match! Best, (attached guides)
2021-09-25 Big Completed SCF for MOA--BBBS Event and also texted MEC: First Name B_first_name Last Name B_last_name Email email_address Cell Phone phone_number Who is your Match Engagement Coordinator? Raquel C. What is your Little's first and last name? L_first_name L_last_name Think of a time when you and your Little had a difficult conversation. How did you feel during the conversation, and what did you learn? -OR- What's a topic that would challenging for your match to discuss and how could you prepare for yourself for it? I had a tough time explaining bicycle safety to L_first_name. He did something when we were out biking that scared me and I didn't explain myself well. I would be more calm and careful discussing safety in our activities in the future. How does you Little share their opinions, likes, and dislikes? He is very open about what he likes. He doesn't always immediately share, but if I ask questions he usually shares easily How many times have you connected with your Little (in-person or virtually) since your last contact? 1 How many hours does you match usually spend together? 4+ hours Child Safety Policy Reminder- Sickness &amp;amp; Injury accepted This registration counts as your required monthly/quarterly contact with BBBS. Do you need a follow up from your Match Engagement Coordinator to address any questions regarding your match No MEC followed up via SMS: Hey B_first_name, just a quick reminder to check your email for additional details about Saturday's BBBS event. There is a link to a waiver that will need to be signed by Aminah. Thank you! Hope you and L_first_name have tons of fun &amp;#128578; Big responded: Sounds like a plan, we're all set, thanks!
2021-10-22 MEC reached out to all Bigs via email with a variety of communications. Options to check in were given, including drop in virtual time, phone or setting up a meeting option, online survey, and texting and email options. Big completed online check in form: Timestamp 10/22/2021 21:54:42 Email Address email_address Please enter your first and last name. Pam B_last_name With your best guess, how many hours did you spend with your Little this last month? 5+ Briefly describe your recent match happenings, what'd you do, how'd it go, any concerns, etc.: Last weekend we carved pumpkins. L_first_name had never done this before and really enjoyed it. It went well. No concerns at this time. Which of these characteristics do you find yourself incorporating the most in your match? How do you personally model expressing care when you?re with your Little? Be dependable What is the hardest thing about being a Big? Staying energetic enough to keep up with him I understand and agree to these rules and guidelines. Is there anything I can do for you or your match at this time? I think we are doing okay at this time This form will count as your monthly support check in. Would you like Raquel, your Match Engagement Coordinator to check in separately with you? No
2021-12-11 MEC reached out to all caseload Match Support Contacts due via email with a variety of communications and activity suggestions. Options to check in were given, including phone or setting up a meeting option, and online check in, and texting, and email. On 12/8/2020 Big completed online check in form: Timestamp 12/8/2021 11:38:25 What is your Littles Name" L_first_name L_last_name What is your name? Pam B_last_name FOR MATCHES IN THEIR FIRST YEAR - How many times did your match meet last month (virtually or in person)? 4 FOR MATCHES POST 1 YEAR - How many times did your match meet last quarter? (virtually or in person). Please describe the amount and/or pattern. For example: About 1x monthly for 3 hours each. Please write NA if your match has been matched under 1 year. NA Please describe the most recent activities your match had and any highs/lows you experienced together. Most recently we went for a hike at the Lake Elmo park reserve. We talked about the lake and read some educational markers around the area as well as checking out the frozen lake. We also attended a match night last month that went really well for a variety of activities and interactions.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Staying engaged through the winter with fewer outdoor activity options. I have some ideas, but most involve admission fees and while I don't mind spending some money I'd rather not do so on a weekly basis. Has your Little expressed any goals they would like to accomplish next year? He talks about college and being on his own a lot, bit his aspirations change often. I'll make a point to discuss shorter term goals with him at our next meeting. In general, what strategies have you noticed Little employs when they?re reacting to stress? How might you help Little incorporate new self care strategies if they?re experiencing stress this time of year? He will either internalize or lash out in frustration. We are working on some mindfulness strategies to help with that. I understand the above rules &amp; guidelines. Do you have any updates you would like to share? (Life changes, moving, contact information updates, etc) I am pregnant with a due date of May 30. I have already brought this up with L_first_name and Aminah. We will probably meet less frequently next summer but they are supportive. Mentoring can be hard work! Is there any way I can help make your match more successful? I think we are okay for now. If I run short on indoor activity ideas, I'll reach out. This form will count as your monthly support check-in. Would you like me to schedule a follow-up phone conversation with you? Only if you have concerns about our activities and my pregnancy
2022-01-31 MEC called BS for a check in MEC introduced herself and asked BS to share a little bit about her match. BS said they were matched last year during Covid and that her LB is 9 years old. BS said that LB is a great kid, super hipper active, looses focus fast and loved to participate in activities. MEC said its great that LB is great and MEC asked how many times do they meet a month. BS said they meet 1 a week or every other week. MEC said its good that they are seeing each other regularly. BS said that LB and his little sister do activities around the house of LB. BS also said that BS partner joins her for activities. MEC asked how many times does BS partner join and she said he's only joined twice. MEC asked how many times does LB sister join them. BS said she joins a couples times but only when her partner joins. BS clarified saying that it doesn't happen often but LB sister is 4 years old and she doesn't get out of the house much. BS also said that she is 5 months pregnant. MEC said congrats and that's so exciting. MEC asked how is the communication with LB and PG. BS said that she talks to PG first then with LB. BS informs PG the day before she is picking up LB to remind mom of the meet up. MEC said its great to keep mom in the group. MEC asked if there is anything BS needs from MEC. BS asked how the requirements change after being matched for a year. MEC said after they reach a year check-ins are every 3 months and BS and LB meet up 1 a month or more if they decide. BS said great. MEC asked when was the last time LB and BS got together. BS said they got together Saturday and did a science experiment. MEC said that sounds like a blast! BS said she and LB really enjoyed it. MEC said that she will reach out at the beginning of the month as a reminder of the check-in.
2022-02-25 MEC introduced herself to BS and asked BS how her match with LB is going. BS said that it is going good, LB is a great kid and that they like to do outdoor activities. MEC said that's great. MEC asked how often does she see LB on average in a month. BS said that they see each other 3 times a month and they try to see each other 1 a week. MEC said that is great that they have a schedule that it works out. BS said yeah. MEC asked if BS has anything else to share with MEC. BS said that LB sometimes looses focus and isn't aware of his surroundings. MEC asked if she could go a little bit more into detail. BS said that last time they saw each other BS partner joined them and they went to an ice castle place. BS said that LB grabbed some snow or ice and threw it and BSs partners face without warning and it hit partner in the face. BS said that she and her partner talked about how to talk to LB and come from a calm place and not get angry. MEC asked if BS partner is okay. BS yes he is totally fine but BS has noticed that this summer LBs neighbor has a pool and they went and she noticed that LB will throw water or things at other kids without telling them in advance. MEC asked if she could tell it is intentional or unintentional. BS said it is unintentional but she doesn't have children so she doesn't know how to go about it. MEC recommends that maybe talk to LB and put him in the perspective of BS partner with the ice thrown in his face or any other scenario and how it would make LB feel. MEC said that could possibly show him how he would feel being in the other persons shoes. BS said she will try to do that. MEC asked if BS has brought this up to PG. BS said she has noticed PG discipline LB and LB automatically shuts down and BS wants to talk to LB and not have him shut down. MEC said that is understandable and maybe to talk to LB from a safe place and put LB in other peoples shoes and see if that helps. MEC said if that doesn't help MEC will talk to coworkers and see if there is a resource MEC can offer. BS said that would be great because she doesn't have a child and doesn't know how to go about it. MEC said she totally understands she also doesn't have a child. MEC said if she notices the talk with LB doesn't work to let MEC know and she will find another way to talk to LB. BS said she will let MEC know how the talk goes. MEC said thank you. MEC asked if BS has any questions for MEC. BS said no and that BS is pregnant and is expecting this summer and she hopes it doesn't change the match she has with LB. MEC said congratulations and asked if LB and PG know. BS said she did tell PG and LB so they know. MEC said that's great.
2022-03-10 MEC asked BS how her match has been going since the last time they spoke. BS said that things are going good. MEC said that is great and asked when was the last time they saw each other. BS said they saw each other Sunday. MEC asked what they did. BS said that she brought her dog and LB went on a long walk. MEC said that sounds like fun. MEC asked what kind of dog does BS have. She said she has a German Shepard mix. MEC said she always wanted a German Shepard but MEC has a golden doodle. BS said she really likes dogs. MEC said she does too. MEC asked if she knows what LB wants to be when he grows up and BS said he wants to be a architect. MEC said that's great that he has an idea of what he wants to be. BS said it is. MEC asked if BS has any questions for her and BS said no. MEC said okay and that she will contact BS in 3 months for another check in. BS said sounds great.
2022-06-06 MEC asked how things are going with BS and LB since they last spoke in March. BS said that things are going well and that there have been some changes. BS said she has a 2 week old baby and that she saw LB 3 times last month which wasn't as much as they normally do. BS said that last week LB and PG went to meet BS baby son and they had a blast getting to a new stage in her life. MEC said congratulations on having a baby and it is amazing that PG and LB got to meet BS baby and they get to go through this stage together. MEC said that since they are over 1 year together they only have to see each other 1 a month but if they see each other more than that, that is great. BS said great to know and that LB and her like to see each other as much as they can. MEC said that is great to hear. MEC asked if LB has any questions, concerns or anything else she would like to share with MEC. BS said that LB is going to Nigeria to visit his older sister and dad. MEC said that must be so exciting for him to see family. BS said it is and that LB hasn't seen his father or sister since 2018. MEC said it will be a great reunion for him. BS said it will be. MEC asked if BS has talked to PG about staying in touch while LB is gone. MEC said that they don't need to do virtual hang outs since it will be LB first time seeing his dad and sister in years but maybe being penpalls but through email, MEC also said that they could use WhatsApp to try and stay in touch. BS said she will talk to PG since she is staying back but she never thought about staying in touch with LB while he was gone so she will talk to PG sometime this week to figure something out. MEC said that sounds like a great plan and MEC is always here if she needs help or has any questions.
2022-09-07 MEC asked if BS has time for a check in. BS said she does. MEC asked how things are going with LB and BS. BS said that things are good and that she saw LB before he left for a trip and then they saw each other last week to catch up and see how his trip was. MEC said that is great. MEC asked how communication is going with PG. BS said that things are going good overall. MEC said that is good to hear. MEC asked if BS has any questions or anything else to add. BS said no. MEC did mention the bowling event through BBBS. BS said that sounds like fun and she will talk to PG and LB to see if he is free and would like to go. MEC said that is great and thanked BS for speaking to MEC for a check in.
2022-12-08 Your name Pam B_last_name Little's name L_first_name L_last_name Approximately how many times has your match gotten together since your last check-in? (1 month for matches less than 1 year, 3 months for matches more than 1 year) 3-4 If you did not meet this month/quarter, do you know why? Do you and your Little's parent / guardian have a plan to have regular match outings again? I have a 6month old, so our meetings have been less frequent. We do plan regular meetings How long does your match typically spend together each outing? 2-3 hours What activities have you and your Little done together since our last check-in? What were some favorite moments from those outings? Any learning opportunities? Mostly visits at his home with craft/experiment activities and games. It's been too cold to be outside. We went to a corn maze before Halloween, too. How is your "Match Goal" coming along? If you don't have one yet, what is something your Little would like to work on? (Example: Learn how to ride a bike, Practice reading chapter books, Learn how to skateboard, raise your grades...etc) We haven't defined one, but we'll talk about making one for the new year. What is something that makes your Little "light up"? In other words, what is something that your Little is very interested in or gets really excited about? He loves to read and talk about the different books he's read. Have you ever made a connection between your Little and another resource or person in support of Little's goals? If so, what was it? If not, can you think of a connection you might be able to make? Not specifically. I happened to know his band teacher socially and we've discussed his situation/demeanor. She has been a good influence on him, too. Please respond after reading the Safety Reminder below: Policies on Movies, Video Games, Media, and the Internet I have read &amp; understand the safety reminder. Do you have any updates you would like to share? (Life changes, moving, contact information updates, etc) None at this time. How else can I support you or your match? Maybe not a you-level thing, but I often find we can't coordinate to attend match nights because the announcement email arrives in the same week as the event. Since we like to agree on activities together, the late notice events are difficult for me to coordinate. MEC responded to BS via Text: Good Morning Pam! I just read over your google form entry. Congratulations on your baby! I am happy to hear that you and L_first_name are seeing each other as often as you are! I understand it can be difficult to coordinate for our events. Here is the link to our calendar that is updated regularly! Please let me know if you have any questions!
2023-03-01 Your name Pam Little's name L_first_name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We met less than preferred, this will improve with the weather. How long does your match typically spend together each outing? 3-4 hours What activities have you and your Little done together since our last check-in? Please tell me about one win or highlight, and one learning opportunity. At home science experiments How is Little's "Match Goal" coming along? What has Little done recently to make progress towards accomplishing it? If you're not sure, what ideas do you have to support them in accomplishing the goal? We never officially set a goal. We will do so this year. How do you express care when you?re with your Little? I ask him thoughtful questions and probe for his feelings/opinions on things. I also try to be present for him while we are together. How does your Little express care in the relationship? Is their approach different than your own? He shares stories with me and sometimes asks probing questions. I'd like to work at having a more open relationship with him, but for now I feel like he trusts me. Please respond after reading the Safety Reminder below: Personal Boundaries I have read &amp; understand the safety reminder. Do you have any updates you would like to share? (Life changes, moving, contact information updates, etc) No How else can I support you or your match? We're good for now as far as I know. MEC responded to BS via Text: Thank you Pam for completing the google form so quickly! I did have a check in with L_first_name last month and he shared how much fun he had doing the science experiments with you. Happy to hear that you ask L_first_name questions and are present when you spend time with him. Great to hear that L_first_name asks you questions and that he trust you! Thank you again Pam!
2023-06-20 Big's Name Pam B_last_name Little's Name L_first_name L_last_name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How long does your match typically spend together each outing? 2-3 hours What activities have you and your Little done together since our last check-in? Lego sets, birthday party How is Little's Youth Goal going? What has Little done recently to make progress towards accomplishing it? If you're not sure, what ideas do you have to support them in accomplishing the goal? We don't have an established goal. We've been sharing books recently. How does your match manage cost of activities? How do you feel this is working or not working? We typically do low or no cost activities that I pay for. It has been okay so far In what ways do you and your Little share power? Has that changed over time? We have always chosen activities together. For his birthday this year, I offered a few options but ultimately let him pick something completely different he'd wanted to do. How do you and your Little go about planning activities together? We often discuss what we will do next at the end of a meeting.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Please review the language in our policy and note we do not allow overnight activities. He has only been to my home a couple of times. He visited with my dogs in a controlled manner, and explored my yard. Will you have any schedule changes such as going out of town or general availability changes over the summer? If so, have you communicated these schedule changes with your Little's Parent/Guardian? I have generally been busy with my child, and adjusting to that has meant less time for L_first_name and I. His mom is understanding, but I am making an effort to create more time. Do you have any updates you would like to share? (Life changes, moving, contact information updates, etc) Nothing I can think of. Is there anything I can do for you to help you be the best mentor you can be? I think we're good. MEC responded to BS via text: Good Afternoon Pam. Thank you for completing the google form. Happy to read that you and L_first_name are seeing each other regularly and that you are doing fun activities together. It is great that you are both sharing books! It is great that L_first_name feels comfortable voicing what activities he would like to do. It is great that hear that L_first_name has gone to your home to visit with your dogs! You and Aminah communicating and that she is understanding of you being busy. Thank you Pam!
2023-09-07 Big's Name Pam B_last_name Little's Name L_first_name akinola Approximately how many times has your match gotten together since your last check-in? (1 month for matches less than 1 year, 3 months for matches more than 1 year). 3-4 times If you did not meet this month/quarter, do you know why? Do you and your Little's parent / guardian have a plan to have regular match outings again? We plan outings regularly How long does your match typically spend together each outing? 2-3 hours How is Little's "Match Goal" coming along? What is something you've done recently to support them in accomplishing their goal? We are still discussing a new goal for this year. What stage would you say your match is in right now? Which characteristics of this stage do you see reflected in your own mentoring relationship? Maturity. We have established trust and have easy conversations. What is one thing you've learned about your Little's personality recently? He gets really quiet when tired and it doesn't necessarily mean he's pulling away from me. Take an opportunity to reflect on the policies titled "When using public restrooms; When returning a child home after match activity". Click Child Safety Policies &amp; Guidelines for review. Do you and your Little's parent or guardian check in with each other after outings? Most of the time yes. Do you have any updates you would like to share? (Life changes, moving, contact information updates, etc) No Mentoring is hard work! Is there anything I can do right now (ex: provide resources, talk through a lingering concern) to support you on this journey? Good for now. MEC responded to BS via text: Good evening Pam. Thank you for completing the google form so quickly. It is great that you and L_first_name are seeing each other regularly and also discussing a new goal for this year. It is great that you see your match has matured and also established trust and having easy conversations. Please let me know if you have any questions! Have a great evening and I will check back in with you in December!
2023-11-27 BS and LB attended the MN Zoo Event through BBBS. LB and BS interacted with BBBS Staff
2024-02-01 Happy February Pam! I hope you are enjoying the beginning of the month and this nice weather! I look forward to hearing from you to hear how things are going with L_first_name. You can complete this month's google form ( ). You can schedule a phone call check-in here through my google calendar ( ). Also feel free to text me letting me know what day and time works best for you. Look out for a communication email about a BBBS update! This Months Child Safety Topic is Riding in or operating motor vehicles &amp; supervision and transportation of youth. * Please reach out to me if you have any questions or concerns about this policy Here are some BBBS Upcoming Events! ** Please reach out to Big to see if they are available for the bottom events ** Financial Literacy Workshop (Littles ages 12+) February 13th @ 6:00 pm - 8:00 pm RSVP HERE FAB Life?s Financial Literacy: Using ECMC (the Educational Credit Management Corporation)?s FAB Life game, matches will embark on a financial journey, dis</t>
  </si>
  <si>
    <t>Match Rationale: nan Dated Notes: 2017-04-10 Question: Activities: Answer: MSC asked what they've been up to so far. BB said he went to LB's bball game. BB said their second time out BB ended up hanging out with LB and some of his friends that he had invited over. BB said he usually lets LB choose the activity, so if that's what LB wants to do, that's fine with BB. MSC asked what they did. BB said skate board, biked around. Question: Child Safety: Answer: MSC explained the 1:1 policy with BB. MSC let BB know if LB brings something like that up again to let LB know Louie from BBBS let BB know they are to spend time together 1:1. MSC discussed exceptions to the rule. BB understood. Question: Child Development: Answer: MSC encouraged P to stay in communication with P on how LB is doing with school and in general, so that BB can mentor and advise LB accordingly. Question: Child/Volunteer Relationship development: Answer: MSC asked how the match is going. BB said so far it has been great. BB said if he can say, this P is a lot nicer. Question: Relationship with BBBS: Answer: MSC promotes lake days program. MSC emailed BB: Hey B_first_name, Nice catching up today! Below you'll find the info on April's Lake Days outing. Health Club - Lake Days (Monthly through September) Who: All ages are welcome Date/Time: Saturday, April 29, 2017. Check in @ 10:30 We will be hitting a different lake each month to get active and enjoy the summer! You choose your activity! Healthy snack provided Health Club - Lake Days! Registration is open now. Question: Parent/Volunteer Concerns: Answer: MSC asked BB if he has any questions or concerns. BB did not. Question: MSS Notes: Answer: Match seems to be off to a good start. MSC will reiterate 1:1 policy to P.
2017-05-02 Question: Activities: Answer: What did you do on your last outing? Biking Question: Child Safety: Answer: Little: Describe one healthy and one unhealthy habit that you have: Running, eating donuts Question: Child Development: Answer: Big: What is a short-term goal that your Little has, and how can you help them accomplish this goal? Being the coolest kid in class. I can help him with the sports. - MSC note: LB had said sports is one way to ?be cool? Question: Child/Volunteer Relationship development: Answer: What has changed about your match relationship since your first activity together? We got to know each other more Is there something that you?d like to see BBBS plan for this coming Spring/Summer? Party, BBQ, Big Parties Question: Relationship with BBBS: Answer: Is there something that you?d like to see BBBS plan for this coming Spring/Summer? Party, BBQ, Big Parties Question: Parent/Volunteer Concerns: Answer: Do you need a follow up call from Match Support to address any questions regarding your match? **This form counts as your required monthly/quarterly contact with BBBS.**  Yes, it?s urgent  Yes, but it?s not urgent __X___ No Question: MSS Notes: Answer: Match seems to be going great. LB and BB were joking with each other, and getting along well.
2017-06-09 No Updates
2017-07-22 Question: Activities: Answer: na Question: Child Safety: Answer: na Question: Child Development: Answer: na Question: Child/Volunteer Relationship development: Answer: na Question: Relationship with BBBS: Answer: MSC conducted 3 month SOR. BB positive about the friendship. BB said they are still in the getting to know each other stage, but said they are having a good time. Question: Parent/Volunteer Concerns: Answer: na Question: Other Comments-List progress/activities in school and in JJ System: Answer: na Question: MSS Notes: Answer: MSC conducted 3 month SOR. BB positive about the friendship. BB said they are still in the getting to know each other stage, but said they are having a good time.
2017-08-22 Question: Activities: Answer: 1. How many match activities have you done together this summer, not including today? (circle your answer) a. two-three Question: Child Safety: Answer: 2. Do you ever include family or friends on your match activities (besides the summer picnic today)? a. Yes, explain: this one Question: Child Development: Answer: 3. What kinds of goals would you (LITTLE) like to accomplish with your Big this summer? (Circle 1-2 goals) a. Try something new that you have never tried by the end of summer b. Pick an arts and crafts project and complete it by the end of summer c. Go to the library, check out a book, and read it together before school starts d. X Do more outdoor activities like swimming, fishing, bike riding, playing a sport e. Other, for example Question: Child/Volunteer Relationship development: Answer: 4. How does your match (BIG/LITTLE) show appreciation to one another? (circle all that apply) a. Saying please and thank you b. Hugs c. X High fives, fist bumps d. Doing something thoughtful e. Other, explain: Question: Relationship with BBBS: Answer: 5. Do you need a follow up call from your Match Support Coordinator with any questions or concerns regarding your match? a. No 6. Are you willing to be contacted by BBBS to help recruit BIGS in your community? Y or N Question: Parent/Volunteer Concerns: Answer: na Question: Other Comments-List progress/activities in school and in JJ System: Answer: na Question: MSS Notes: Answer: Match filled out support form @ BBBS Summer Picnic on Saturday, July 29, 2017 MSC got to speak with P, LB and BB. Doing well. P supportive.
2017-09-29 No Updates</t>
  </si>
  <si>
    <t>Match Rationale: nan Dated Notes: 2017-03-30 Question: Activities: Answer: Msc asked about activities. Bs said they met twice where they went bowling and watched a movie. Question: Child Safety: Answer: Bs has msc's and mom's contact info. Question: Child Development: Answer: None during this contact. Question: Child/Volunteer Relationship development: Answer: Msc asked about match relationship. Bs said it is going really well. They are planning to meet twice a month. Msc asked what bs thought of Ls. She said Ls is "a great kid." Bs sees potentials in Ls and they share similarities. Bs said Ls was quiet at first, but then warmed up to bs. Msc asked how is communication between mom and bs, she said it is good, they mainly text. Question: Relationship with BBBS: Answer: Msc introduced self and role. Msc talked about match central and newsletter. Msc emailed bs the info. Question: Parent/Volunteer Concerns: Answer: Bs does not have concerns. Question: Other Comments-List progress/activities in school and in JJ System: Answer: Bs told msc that Ls will be having a new baby sibling. Bs was not sure who to communicate with about any possible changes, msc encouraged her to check in with mom on it. Question: MSS Notes: Answer: Match is doing really well as reported by bs. They are starting off well with activities and communications. no concerns. continue call.
2017-04-30 Question: Activities: Answer: Msc asked about activities. Bs said they went to the movies and to the library. Question: Child Safety: Answer: Msc asked if activities are done 1:1? Bs said yes. Question: Child Development: Answer: Msc asked if Ls is more comfortable talking to adults or peers? Bs said peers because she can relate to them more. Question: Child/Volunteer Relationship development: Answer: Msc asked about match plan goals. Bs said it is going well. They meet every Saturday for outings. She said the match relationship is meeting her expectations. Msc asked how is the communication between her and mom. She said it is good, they usually say hi during pick up and drop off. Question: Relationship with BBBS: Answer: Msc asked if any support/activity is needed for match. Bs said no. Question: Parent/Volunteer Concerns: Answer: No concerns reported. Question: Other Comments-List progress/activities in school and in JJ System: Answer: None Question: MSS Notes: Answer: Match is doing well. They are meeting for outings. no concerns. continue call.
2017-05-29 Question: Activities: Answer: Msc asked about activities. Bs said this month has been busy for her; therefore, they have not gotten together. They plan to go to the Nickeleon Universe this weekend. Question: Child Safety: Answer: No child safety concerns reported. Question: Child Development: Answer: N/A Question: Child/Volunteer Relationship development: Answer: Msc asked about match relationship. Bs said it is good. Msc checked on match plan goals: find opportunities to be successful- bowling activity where they both started out "rocky" but later learned how to bowl; keep trying when challenged- they didn't give up on the bowling experience; learn about college &amp; careers- Ls has shared a couple of things she might like to do in the future when she is older, but nothing solid yet; speak up for what?s important- match talks about what they like to do and what they value as important to them; volunteer/help others- in progress, msc suggested some volunteer ideas; care for neighborhood and school- bs reported that Ls cares about her family, likes her friends, and enjoys school; learn a new artistic skill- in progress; explore a new form of art- in progress, msc suggested some ideas; explore a new cultural experience- they are both are learning about each other's culture. Msc also suggested some bbbe world culture events/activities. Question: Relationship with BBBS: Answer: Msc completed Match plan goals check in and also suggested some activity ideas. Question: Parent/Volunteer Concerns: Answer: Bs does not have concerns. Question: Other Comments-List progress/activities in school and in JJ System: Answer: n/a Question: MSS Notes: Answer: Match is doing good. They didn't see each other much this month, but do plan to meet soon. They are still working on match plan goals. no concerns. continue call.
2017-06-30 Question: Activities: Answer: Msc asked about activities. Bs said they went to MIA. They plan to go to the sculpture garden for next outing. Question: Child Safety: Answer: No child safety concerns reported. Question: Child Development: Answer: n/a Question: Child/Volunteer Relationship development: Answer: Msc asked about match relationship. Bs said it is going well. Msc asked if match has summer plans. Bs said they would like to do more outdoor activities. They also are thinking going to the Twins game. Question: Relationship with BBBS: Answer: Msc talked to bs about the bbbs ticket center for twins tickets. Msc also talked to bs about bbbs picnic. Msc completed sor survey with bs. Question: Parent/Volunteer Concerns: Answer: Bs does not have concerns. Question: Other Comments-List progress/activities in school and in JJ System: Answer: n/a Question: MSS Notes: Answer: Match is doing good. Msc talked to bs about some bbbs events/resource. no concerns. continue call.
2017-07-31 Question: Activities: Answer: BBBS Summer Picnic Support Form Little?s Full Name: __L_first_name L_last_name Bigs?s Full Name: B_first_name B_last_name BBBS Primary Contact Person: ___Mai Shoua Lee Please answer the following questions together (use the back if necessary): 1. How many match activities have you done together this summer, not including today? (circle your answer) a. Zero-One b. Two-Three c. XFour-Five d. Other  2. Do you ever include family or friends on your match activities (besides the summer picnic today)? a. XNo b. Yes, explain:  3. What kinds of goals would you (Little) like to accomplish with your Big this summer? (Circle 1-2 goals) a. XTry something new that you have never tried by the end of the summer b. Pick an arts and crafts project and complete it by the end of this summer c. Go to the library, check out a book, and read it together before school starts d. XDo more outdoor activities like swimming, fishing, bike riding, playing a sport e. Other, for example  4. How does your match (Big/Little) show appreciation to one another? (circle all that apply) a. XSaying please and thank you b. Hugs c. XHigh fives, fist bumps d. XDoing something thoughtful e. Other, explain:  5. Do you need a follow up call from Match Support to address any questions regarding your match? A. Yes, ASAP B. Yes, but it?s not urgent C. XNo D. Are you wiling to be contacted by BBBS to help recruit BIGS in your community? XY/N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attended bbbs picnic and completed support form. Msc got a chance to chat with them for a bit. no concerns.
2017-10-11 Question: Activities: Answer: Msc asked about activities. Bs said they recently met to go to the movies. They were able to talk on the drive there. Before that outing, bs was sick; therefore, they didn't meet. Question: Child Safety: Answer: Msc asked if bs ever leaves Ls alone with someone else, bs said no. Question: Child Development: Answer: Msc checked on Ls. Bs said Ls is doing good, she is at a new school now. Bs will check in with Ls for more details next time they meet. Question: Child/Volunteer Relationship development: Answer: Msc asked about match relationship. Bs said it is good. Msc asked if there is anything Bs like done differently in match. Bs said no. She added that "the more time we meet, the more we are able to relate to each other and have fun!" Msc is glad to hear this. Question: Relationship with BBBS: Answer: Msc asked if any support/activity is needed for match. Bs said no. Question: Parent/Volunteer Concerns: Answer: No concerns. Question: Other Comments-List progress/activities in school and in JJ System: Answer: n/a Question: MSS Notes: Answer: Match is doing good. They recently met for an outing. Bs reported, "the more time we meet, the more we are able to relate to each other and have fun!" no concerns. continue call.
2017-10-31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Comm log for details on Email communication with Bs. Match will be closing, as bs has decided not to continue with program due to being in 2nd trimester with child. She has already notified both mom and Ls about this. Msc had to check with her supervisor to confirm the situation, since match is under a year. Msc sent Bs closing questions. No concerns on match.
2017-11-30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Closing with bs via email: Hi Mai, Thanks so much for sending this over. And thank you for arranging the match closing; I know it's not ideal. Please see my answers below -- What were the highlights of your match? Meeting a smart, funny young person! Any regrets or disappointments in your match? No! What are your expectations for contact after the match is closed? Will you continue contact through phone, email, etc? As a reminder, once your match is closed all future contact is no longer under the supervision of Big Brothers Big Sisters. I don't know. I am open to further contact, though. Do you have any concerns with your Little participating in a new match? No! Overall, I had a good experience with my Little and enjoyed being a Big. The only piece of feedback that I really have for the experience is that I wish the Bigs would have received a bit more training. For example, how to deal with adolescents and the different situations they are in with their friends, how to form relationships with the Little's family, etc. Thanks again Mai! With warm regards, B_first_name Msc emailed the following back: Hi B_first_name, Thanks for completing the closing and for the feedback! I will contact L_first_name and Germaine to do closing as well. I wish you well as you begin your motherhood journey. Thanks for all that you have done for L_first_name and the BBBS program.
2017-12-01 Question: Activities: Answer: Match Closed.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Closed.
2017-12-01 No Updates</t>
  </si>
  <si>
    <t>Match Activation Date</t>
  </si>
  <si>
    <t>Little ID</t>
  </si>
  <si>
    <t>Big Id</t>
  </si>
  <si>
    <t>Little Age</t>
  </si>
  <si>
    <t>Big Age</t>
  </si>
  <si>
    <t>Big Occupation</t>
  </si>
  <si>
    <t>Big Education</t>
  </si>
  <si>
    <t>Big Approval</t>
  </si>
  <si>
    <t>Big Employer</t>
  </si>
  <si>
    <t>Little Gender</t>
  </si>
  <si>
    <t>Little Race</t>
  </si>
  <si>
    <t>Big Gender</t>
  </si>
  <si>
    <t>Big Race</t>
  </si>
  <si>
    <t>Big Census Block</t>
  </si>
  <si>
    <t>Match Status</t>
  </si>
  <si>
    <t>Match Closure Date</t>
  </si>
  <si>
    <t>Program Type</t>
  </si>
  <si>
    <t>Program</t>
  </si>
  <si>
    <t>LLM JSON Response</t>
  </si>
  <si>
    <t>Match Length</t>
  </si>
  <si>
    <t>```json
[
  {
    "date": "2024-04-04",
    "features": {
      "Volunteer: Time constraint": 3,
      "event_count": 1,
      "green_flag_count": 1,
      "red_flag_count": 1
    }
  },
  {
    "date": "2024-07-10",
    "features": {
      "Child/Family: Moved out of service area": 4,
      "event_count": 1,
      "green_flag_count": 0,
      "red_flag_count": 1
    }
  },
  {
    "date": "2024-10-07",
    "features": {
      "Volunteer: Time constraint": 4,
      "Child/Family: Time constraints": 3,
      "event_count": 2,
      "green_flag_count": 0,
      "red_flag_count": 2
    }
  },
  {
    "date": "2025-01-14",
    "features": {
      "Child/Family: Time constraints": 4,
      "Volunteer: Time constraint": 4,
      "event_count": 2,
      "green_flag_count": 0,
      "red_flag_count": 2
    }
  },
  {
    "date": "2025-02-13",
    "features": {
      "Child: Graduated": 5,
      "event_count": 1,
      "green_flag_count": 1,
      "red_flag_count": 0
    }
  }
]
```</t>
  </si>
  <si>
    <t>```json
[
  {
    "date": "2022-02-11",
    "features": {
      "Match closure Discussed": 5,
      "Volunteer: Lost contact with child/family": 4,
      "Volunteer: Infraction of match rules/agency policies": 5,
      "Volunteer: Unrealistic expectations": 4,
      "Child/Family: Unrealistic expectations": 4,
      "Child/Family: Feels incompatible with volunteer": 5,
      "Child/Family: Time constraints": 3,
      "Volunteer: Time constraint": 3,
      "Agency: Challenges with program/partnership": 4,
      "event_count": 9,
      "green_flag_count": 0,
      "red_flag_count": 9
    }
  }
]
```</t>
  </si>
  <si>
    <t>```json
[
  {
    "date": "2020-07-30",
    "features": {
      "Volunteer: Moved within service area": 2,
      "event_count": 1,
      "green_flag_count": 0,
      "red_flag_count": 1
    }
  },
  {
    "date": "2020-08-10",
    "features": {
      "Volunteer: Lost contact with child/family": 3,
      "Volunteer: Moved within service area": 3,
      "event_count": 2,
      "green_flag_count": 0,
      "red_flag_count": 2
    }
  },
  {
    "date": "2020-09-21",
    "features": {
      "Volunteer: Lost contact with child/family": 3,
      "event_count": 1,
      "green_flag_count": 0,
      "red_flag_count": 1
    }
  },
  {
    "date": "2020-10-27",
    "features": {
      "Volunteer: Lost contact with child/family": 4,
      "event_count": 1,
      "green_flag_count": 0,
      "red_flag_count": 1
    }
  },
  {
    "date": "2020-11-24",
    "features": {
      "Volunteer: Lost contact with child/family": 2,
      "event_count": 1,
      "green_flag_count": 0,
      "red_flag_count": 1
    }
  },
  {
    "date": "2021-01-07",
    "features": {
      "Match closure Discussed": 2,
      "Volunteer: Moved out of service area": 4,
      "event_count": 2,
      "green_flag_count": 0,
      "red_flag_count": 2
    }
  },
  {
    "date": "2021-03-23",
    "features": {
      "Match closure Discussed": 3,
      "Volunteer: Moved out of service area": 5,
      "Child/Family: Lost contact with agency": 2,
      "event_count": 3,
      "green_flag_count": 0,
      "red_flag_count": 3
    }
  }
]
```</t>
  </si>
  <si>
    <t>```json
[
  {
    "date": "2024-05-31",
    "features": {
      "Volunteer: Time constraint": 3,
      "event_count": 1,
      "green_flag_count": 0,
      "red_flag_count": 1
    }
  },
  {
    "date": "2024-09-18",
    "features": {
      "event_count": 1,
      "green_flag_count": 1,
      "red_flag_count": 0
    }
  },
  {
    "date": "2025-01-30",
    "features": {
      "Volunteer: Time constraint": 2,
      "event_count": 1,
      "green_flag_count": 0,
      "red_flag_count": 1
    }
  }
]
```</t>
  </si>
  <si>
    <t>```json
[
  {
    "date": "2017-04-10",
    "features": {
      "Child/Family: Infraction of match rules/agency policies": 2,
      "Volunteer: Infraction of match rules/agency policies": 2,
      "event_count": 2,
      "green_flag_count": 3,
      "red_flag_count": 2
    }
  },
  {
    "date": "2017-05-02",
    "features": {
      "Volunteer: Unrealistic expectations": 1,
      "event_count": 1,
      "green_flag_count": 5,
      "red_flag_count": 1
    }
  },
  {
    "date": "2017-07-22",
    "features": {
      "event_count": 0,
      "green_flag_count": 4,
      "red_flag_count": 0
    }
  },
  {
    "date": "2017-08-22",
    "features": {
      "Child/Family: Infraction of match rules/agency policies": 1,
      "event_count": 1,
      "green_flag_count": 5,
      "red_flag_count": 1
    }
  }
]
```</t>
  </si>
  <si>
    <t>```json
[
  {
    "date": "2017-10-31",
    "features": {
      "Match closure Discussed": 5,
      "Volunteer: Pregnancy": 3,
      "event_count": 2,
      "green_flag_count": 0,
      "red_flag_count": 1
    }
  },
  {
    "date": "2017-11-30",
    "features": {
      "Match closure Discussed": 5,
      "event_count": 1,
      "green_flag_count": 0,
      "red_flag_count": 1
    }
  },
  {
    "date": "2017-12-01",
    "features": {
      "Match closure Discussed": 5,
      "event_count": 1,
      "green_flag_count": 0,
      "red_flag_count": 1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</si>
</sst>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0" xfId="0" applyFont="1" applyAlignment="1">
      <alignment horizontal="center" vertical="top"/>
    </xf>
    <xf numFmtId="2" fontId="1" fillId="0" borderId="0" xfId="0" applyNumberFormat="1" applyFont="1" applyAlignment="1">
      <alignment horizontal="center" vertical="top"/>
    </xf>
    <xf numFmtId="2" fontId="0" fillId="0" borderId="0" xfId="0" applyNumberFormat="1"/>
    <xf numFmtId="14" fontId="0" fillId="0" borderId="0" xfId="0" applyNumberFormat="1"/>
    <xf numFmtId="14" fontId="1" fillId="0" borderId="0" xfId="0" applyNumberFormat="1" applyFont="1"/>
    <xf numFmtId="0" fontId="1" fillId="0" borderId="0" xfId="0" applyFont="1"/>
    <xf numFmtId="1" fontId="1" fillId="0" borderId="0" xfId="0" applyNumberFormat="1" applyFont="1" applyAlignment="1">
      <alignment horizontal="center" vertical="top"/>
    </xf>
    <xf numFmtId="1" fontId="0" fillId="0" borderId="0" xfId="0" applyNumberFormat="1"/>
    <xf numFmtId="1" fontId="1" fillId="0" borderId="0" xfId="0" applyNumberFormat="1" applyFont="1"/>
    <xf numFmtId="0" fontId="1" fillId="2" borderId="1" xfId="0" applyFont="1" applyFill="1" applyBorder="1" applyAlignment="1">
      <alignment horizontal="center" vertical="top"/>
    </xf>
    <xf numFmtId="0" fontId="0" fillId="2" borderId="0" xfId="0" applyFill="1"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MUDAC\Training.xlsx" TargetMode="External"/><Relationship Id="rId1" Type="http://schemas.openxmlformats.org/officeDocument/2006/relationships/externalLinkPath" Target="/Users/user/Desktop/MUDAC/Train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Testing Set"/>
      <sheetName val="Sheet10"/>
      <sheetName val="Reasons"/>
      <sheetName val="Sheet8"/>
      <sheetName val="Sheet7"/>
      <sheetName val="Sheet5"/>
      <sheetName val="Sheet3"/>
      <sheetName val="Sheet2"/>
      <sheetName val="Sheet4"/>
      <sheetName val="Sheet6"/>
    </sheetNames>
    <sheetDataSet>
      <sheetData sheetId="0"/>
      <sheetData sheetId="1">
        <row r="1">
          <cell r="A1" t="str">
            <v>Match ID 18Char</v>
          </cell>
          <cell r="B1" t="str">
            <v>Match Activation Date</v>
          </cell>
          <cell r="C1" t="str">
            <v>Completion Date</v>
          </cell>
          <cell r="D1" t="str">
            <v>Match Support Contact Notes</v>
          </cell>
          <cell r="E1" t="str">
            <v>Stage</v>
          </cell>
          <cell r="F1" t="str">
            <v>Little ID</v>
          </cell>
          <cell r="G1" t="str">
            <v>Big ID</v>
          </cell>
          <cell r="H1" t="str">
            <v>Big County</v>
          </cell>
          <cell r="I1" t="str">
            <v>State</v>
          </cell>
          <cell r="J1" t="str">
            <v>Big Age</v>
          </cell>
          <cell r="K1" t="str">
            <v>Big Occupation</v>
          </cell>
          <cell r="L1" t="str">
            <v>Big: Military</v>
          </cell>
          <cell r="M1" t="str">
            <v>Big Approved Date</v>
          </cell>
          <cell r="N1" t="str">
            <v>Big Level of Education</v>
          </cell>
          <cell r="O1" t="str">
            <v>Big Languages</v>
          </cell>
          <cell r="P1" t="str">
            <v>Big Gender</v>
          </cell>
          <cell r="Q1" t="str">
            <v>Big Birthdate</v>
          </cell>
          <cell r="R1" t="str">
            <v>Big Employer</v>
          </cell>
          <cell r="S1" t="str">
            <v>Program</v>
          </cell>
          <cell r="T1" t="str">
            <v>Program Type</v>
          </cell>
          <cell r="U1" t="str">
            <v>Big Race/Ethnicity</v>
          </cell>
          <cell r="V1" t="str">
            <v>Closure Reason</v>
          </cell>
          <cell r="W1" t="str">
            <v>Closure Details</v>
          </cell>
          <cell r="X1" t="str">
            <v>Match Closure Meeting Date</v>
          </cell>
          <cell r="Y1" t="str">
            <v>Rationale for Match</v>
          </cell>
          <cell r="Z1" t="str">
            <v>Big Enrollment: Record Type</v>
          </cell>
          <cell r="AA1" t="str">
            <v>Big Assessment Uploaded</v>
          </cell>
          <cell r="AB1" t="str">
            <v>Big Acceptance Date</v>
          </cell>
          <cell r="AC1" t="str">
            <v>Big Car Access</v>
          </cell>
          <cell r="AD1" t="str">
            <v>Big Days Acceptance to Match</v>
          </cell>
          <cell r="AE1" t="str">
            <v>Big Days Interview to Acceptance</v>
          </cell>
          <cell r="AF1" t="str">
            <v>Big Days Interview to Match</v>
          </cell>
          <cell r="AG1" t="str">
            <v>Big Open to Cross-Gender Match</v>
          </cell>
          <cell r="AH1" t="str">
            <v>Big Re-Enroll</v>
          </cell>
          <cell r="AI1" t="str">
            <v>Big Contact: Preferred Communication Type</v>
          </cell>
          <cell r="AJ1" t="str">
            <v>Big Contact: Former Big/Little</v>
          </cell>
          <cell r="AK1" t="str">
            <v>Big Contact: Interest Finder - Sports</v>
          </cell>
          <cell r="AL1" t="str">
            <v>Big Contact: Interest Finder - Places To Go</v>
          </cell>
          <cell r="AM1" t="str">
            <v>Big Contact: Interest Finder - Hobbies</v>
          </cell>
          <cell r="AN1" t="str">
            <v>Big Contact: Interest Finder - Entertainment</v>
          </cell>
          <cell r="AO1" t="str">
            <v>Big Contact: Created Date</v>
          </cell>
          <cell r="AP1" t="str">
            <v>Big Enrollment: Created Date</v>
          </cell>
          <cell r="AQ1" t="str">
            <v>Big Contact: Volunteer Availability</v>
          </cell>
          <cell r="AR1" t="str">
            <v>Big Contact: Marital Status</v>
          </cell>
          <cell r="AS1" t="str">
            <v>Little RTBM Date in MF</v>
          </cell>
          <cell r="AT1" t="str">
            <v>Little RTBM in Matchforce</v>
          </cell>
          <cell r="AU1" t="str">
            <v>Little Moved to RTBM in MF</v>
          </cell>
          <cell r="AV1" t="str">
            <v>Little Application Received</v>
          </cell>
          <cell r="AW1" t="str">
            <v>Little Contact: Language(s) Spoken</v>
          </cell>
          <cell r="AX1" t="str">
            <v>Little Interview Date</v>
          </cell>
          <cell r="AY1" t="str">
            <v>Little Acceptance Date</v>
          </cell>
          <cell r="AZ1" t="str">
            <v>Little Contact: Interest Finder - Sports</v>
          </cell>
          <cell r="BA1" t="str">
            <v>Little Contact: Interest Finder - Outdoors</v>
          </cell>
          <cell r="BB1" t="str">
            <v>Little Contact: Interest Finder - Arts</v>
          </cell>
          <cell r="BC1" t="str">
            <v>Little Contact: Interest Finder - Places To Go</v>
          </cell>
          <cell r="BD1" t="str">
            <v>Little Contact: Interest Finder - Hobbies</v>
          </cell>
          <cell r="BE1" t="str">
            <v>Little Contact: Interest Finder - Entertainment</v>
          </cell>
          <cell r="BF1" t="str">
            <v>Little Contact: Interest Finder - Other Interests</v>
          </cell>
          <cell r="BG1" t="str">
            <v>Little Other Interests</v>
          </cell>
          <cell r="BH1" t="str">
            <v>Little Contact: Interest Finder - Career</v>
          </cell>
          <cell r="BI1" t="str">
            <v>Little Contact: Interest Finder - Personality</v>
          </cell>
          <cell r="BJ1" t="str">
            <v>Little Contact: Interest Finder - Three Wishes</v>
          </cell>
          <cell r="BK1" t="str">
            <v>Little Gender</v>
          </cell>
          <cell r="BL1" t="str">
            <v>Little Participant: Race/Ethnicity</v>
          </cell>
          <cell r="BM1" t="str">
            <v>Little Birthdate</v>
          </cell>
          <cell r="BN1" t="str">
            <v>Little Mailing Address Census Block Group</v>
          </cell>
          <cell r="BO1" t="str">
            <v>Big Home Census Block Group</v>
          </cell>
          <cell r="BP1" t="str">
            <v>Big Employer/School Census Block Group</v>
          </cell>
          <cell r="BQ1" t="str">
            <v>Match Length</v>
          </cell>
        </row>
        <row r="2">
          <cell r="A2" t="str">
            <v>a1v2J0000027dtOQAQ</v>
          </cell>
          <cell r="B2">
            <v>43111</v>
          </cell>
          <cell r="C2">
            <v>43991</v>
          </cell>
          <cell r="D2" t="str">
            <v>June Online Check In Form Please provide a brief update of your match. What activities (virtual or in-person) have you been doing? Have you faced any challenges with connecting remotely? REFLECT &amp; SHARE:  * L_first_name, his Mom and I have texted a couple of times but have had no in person meetings since February. (Optional) Please feel free to use this space to share any thoughts or feelings you have related to the death of George Floyd and the following protests and violence in the Twin Cities. Have you been directly affected? This may help me to better support you and your match. (Optional) Do you feel like these events may have an impact on your match? If so, how? (Optional) Would you like me to connect you with any resources to support you and your Little process your thoughts and emotions together or individually? If so, can you give me an idea of what may help? I highly encouraged you to reach out to your Little's parent / guardian as soon as possible to see how they're doing. Please try to ask whether or not they feel comfortable with you discussing George Floyd's death, the protests and violence, or police/community relations with your Little. It's important that you're on the same page and respectful of their wishes. Have you had any issues with communication, planning activities, or budgeting with your Little and their Parent/Guardian? If so, please describe.  * We have had very little communication other than texting from time to time. Safety Policy Review - COVID-19 basics from the CDC  Mentoring can be hard work! Is there any way I can help make your match more successful? This form will count as your monthly support check-in. If you would like to schedule a follow-up phone conversation, please use this link to schedule a call : ( https://bbbsgtc.as.me/EB )</v>
          </cell>
          <cell r="E2" t="str">
            <v>Active</v>
          </cell>
          <cell r="F2" t="str">
            <v>0032J00003PLeoRQAT</v>
          </cell>
          <cell r="G2" t="str">
            <v>0032J00003Ph14N</v>
          </cell>
          <cell r="H2" t="str">
            <v>Hennepin</v>
          </cell>
          <cell r="J2">
            <v>61</v>
          </cell>
          <cell r="K2" t="str">
            <v>Finance: Banking</v>
          </cell>
          <cell r="M2">
            <v>43102</v>
          </cell>
          <cell r="O2" t="str">
            <v>No Preference</v>
          </cell>
          <cell r="P2" t="str">
            <v>Male</v>
          </cell>
          <cell r="Q2">
            <v>23316</v>
          </cell>
          <cell r="R2" t="str">
            <v>Wells Fargo</v>
          </cell>
          <cell r="S2" t="str">
            <v>General Community</v>
          </cell>
          <cell r="T2" t="str">
            <v>Community</v>
          </cell>
          <cell r="U2" t="str">
            <v>White or Caucasian;</v>
          </cell>
          <cell r="Y2"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2" t="str">
            <v>Male</v>
          </cell>
          <cell r="BL2" t="str">
            <v>Black or African American; White or Caucasian</v>
          </cell>
          <cell r="BM2">
            <v>39083</v>
          </cell>
          <cell r="BN2">
            <v>270030508182</v>
          </cell>
          <cell r="BQ2">
            <v>85.6</v>
          </cell>
        </row>
        <row r="3">
          <cell r="A3" t="str">
            <v>a1v2J0000027dtOQAQ</v>
          </cell>
          <cell r="B3">
            <v>43111</v>
          </cell>
          <cell r="C3">
            <v>43899</v>
          </cell>
          <cell r="D3" t="str">
            <v>BB reports the match is going very well and they are meeting up consistently. MEC and BB discussed the celebration of their 2 year anniversary. MEC encouraged BB to register for anniversary party BB reports that February was an especially good month They went to a movie; went bowling for PBS taping to promote BBBS; went to LB's school play (played Scarecrow in The Wizard of Oz) Comms are really good; BB and PG talked a lot at the play. They have a very strong bond. No big changes in anyone's lives MEC talked about teen programming, which the match has already taken advantage of. Challenging growth: up until recently, BB has done most of the listening to LB...who loves to talk; recently, BB is learning to talk more in the relationship. MEC insisted that this was a wise order for their relationship to develop. No plans for next outing at this time MEC reviewed safety concerns regarding coronovirus and encouraged match to take a break if anyone in either household is feeling ill No other issues or concerns at this time.</v>
          </cell>
          <cell r="E3" t="str">
            <v>Active</v>
          </cell>
          <cell r="F3" t="str">
            <v>0032J00003PLeoRQAT</v>
          </cell>
          <cell r="G3" t="str">
            <v>0032J00003Ph14N</v>
          </cell>
          <cell r="H3" t="str">
            <v>Hennepin</v>
          </cell>
          <cell r="J3">
            <v>61</v>
          </cell>
          <cell r="K3" t="str">
            <v>Finance: Banking</v>
          </cell>
          <cell r="M3">
            <v>43102</v>
          </cell>
          <cell r="O3" t="str">
            <v>No Preference</v>
          </cell>
          <cell r="P3" t="str">
            <v>Male</v>
          </cell>
          <cell r="Q3">
            <v>23316</v>
          </cell>
          <cell r="R3" t="str">
            <v>Wells Fargo</v>
          </cell>
          <cell r="S3" t="str">
            <v>General Community</v>
          </cell>
          <cell r="T3" t="str">
            <v>Community</v>
          </cell>
          <cell r="U3" t="str">
            <v>White or Caucasian;</v>
          </cell>
          <cell r="Y3"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3" t="str">
            <v>Male</v>
          </cell>
          <cell r="BL3" t="str">
            <v>Black or African American; White or Caucasian</v>
          </cell>
          <cell r="BM3">
            <v>39083</v>
          </cell>
          <cell r="BN3">
            <v>270030508182</v>
          </cell>
          <cell r="BQ3">
            <v>85.6</v>
          </cell>
        </row>
        <row r="4">
          <cell r="A4" t="str">
            <v>a1v2J0000027dtOQAQ</v>
          </cell>
          <cell r="B4">
            <v>43111</v>
          </cell>
          <cell r="C4">
            <v>43815</v>
          </cell>
          <cell r="D4" t="str">
            <v>BBBS December Check In Form Please provide a brief update of your match. What activities have you been doing? What's new and exciting? Have you faced any challenges? REFLECT &amp; SHARE:  * The last three months have seen the least interaction of our entire relationship. We did attend the state fair and a school play. But since school has started L_first_name has been very active in football and the school play. Our relationship is still very good but our interactions have been fewer. L_first_name has a new interest: girls. His mom has asked me to have conversations with him on this subject. Please describe any activities your Little loves to do in the winter. Please describe any activities you love to do in the winter. Examples: ice skating, hot chocolate, sledding, and playing board games.  * L_first_name: roller skating, ice skating, basketball Me: sledding, indoor stuff Have you had an opportunity to do any of these activities together this year?  * No Do you celebrate any holidays or have any traditions during the winter? Has your Little been able to celebrate with you in any way? Please describe.  * Traditional Christmas get togethers with family, gift exchange. I have not done these with L_first_name. Please describe any recent significant changes in the lives of your Little and their family (moving, new phone #, death/illness, new job schedule, etc.)? Do you anticipate any challenges for your Little or their family as we approach winter?  * No significant changes recently or expected for either of us. If you feel comfortable sharing, please describe any recent significant changes in your life? Have you shared this with your Little and their Parent/Guardian?  * Recently celebrated the birth of our first grandchild  Have you had any issues with communication, planning activities, or budgeting with your Little's Parent/Guardian? If so, please describe.  * No communication issues. Busy schedules have prevented us from meeting as frequently as we have in the past.   Child Safety Policy Review: High Risk Activities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None at this time</v>
          </cell>
          <cell r="E4" t="str">
            <v>Active</v>
          </cell>
          <cell r="F4" t="str">
            <v>0032J00003PLeoRQAT</v>
          </cell>
          <cell r="G4" t="str">
            <v>0032J00003Ph14N</v>
          </cell>
          <cell r="H4" t="str">
            <v>Hennepin</v>
          </cell>
          <cell r="J4">
            <v>61</v>
          </cell>
          <cell r="K4" t="str">
            <v>Finance: Banking</v>
          </cell>
          <cell r="M4">
            <v>43102</v>
          </cell>
          <cell r="O4" t="str">
            <v>No Preference</v>
          </cell>
          <cell r="P4" t="str">
            <v>Male</v>
          </cell>
          <cell r="Q4">
            <v>23316</v>
          </cell>
          <cell r="R4" t="str">
            <v>Wells Fargo</v>
          </cell>
          <cell r="S4" t="str">
            <v>General Community</v>
          </cell>
          <cell r="T4" t="str">
            <v>Community</v>
          </cell>
          <cell r="U4" t="str">
            <v>White or Caucasian;</v>
          </cell>
          <cell r="Y4"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4" t="str">
            <v>Male</v>
          </cell>
          <cell r="BL4" t="str">
            <v>Black or African American; White or Caucasian</v>
          </cell>
          <cell r="BM4">
            <v>39083</v>
          </cell>
          <cell r="BN4">
            <v>270030508182</v>
          </cell>
          <cell r="BQ4">
            <v>85.6</v>
          </cell>
        </row>
        <row r="5">
          <cell r="A5" t="str">
            <v>a1v2J0000027dtOQAQ</v>
          </cell>
          <cell r="B5">
            <v>43111</v>
          </cell>
          <cell r="C5">
            <v>43727</v>
          </cell>
          <cell r="D5" t="str">
            <v>How many times have you met up with your Little since our last check in? (Give your best estimate) 2 How many hours do you typically spend together? 4 Please provide a brief update of your match. What activities have you been doing? What's new and exciting? Have you faced any challenges? REFLECT &amp; SHARE: We attended the BBBS picnic and the state fair. L_first_name?s first time attending the fair and he loved it all including the bus ride. We both had a busy late summer. My daughter got married and another daughter had a child. L_first_name began football and went to a camp. We did not get together as often as we?d like. Grades are important for your Little, but don't overlook their social development and their ability to take advantage of support systems and extracurricular opportunities while they're in school. Describe how you check in with your Little about their school life. How do you help them address challenges and celebrate their success? We always talk about school, classes and grades. L_first_name is an excellent student and excel in the classroom. He is also very active in extra curriculars (football, theater, basketball). SHARE POWER (based on the Search Institute's Developmental Relationships Framework): Too often, youth are viewed only as the recipients of education. In doing so, society undervalues the knowledge they acquire on their own and their lived experience. Research has shown there is tremendous value in giving youth the platform to flip this relationship upside down. All youth have the capacity to teach adults something new or offer a meaningful glimpse of the world through their eyes. Describe a time where your Little has taught you something new or helped you see something from their perspective. L_first_name is very relational. When we are together he is a great example to me of relating to others in conversation, silliness, respect, curiosity, honesty and openness. And not being self-conscious. SHARE POWER: Regardless of your answer to the previous question, describe how you will provide your Little opportunities in the future to teach you something new or help you see something from their perspective. I do a lot of listening and observing and questioning. He is very conversant and generally carries our conversations. This works well for us. Checking In Regarding School: Now that the school year has begun, describe how you stay informed with how your Little is doing in school from the perspective of their parent/guardian? Has anything come up that your Match Engagement Coordinator should be aware of or could support you with? Text and talk with L_first_name?s mom and him on these subjects. Will attend his extra curricular activities when I can. Many parents/guardians have barriers far out of their control (work schedule, language barriers, mental or physical health, etc.) that make it difficult to be fully informed about their child's school life. You can play a critical role in keeping the Parent/Guardian informed by building a trusting, positive relationship with your Little and asking probing, open-ended questions about school. Describe your strategy for keeping your Parent/Guardian up to speed with information you may gather about their child's school life. Will continue to probe in this area and discuss with his mother. Has not been an issue at all When using public restrooms: Escort the child to any public restroom to ensure safety When returning home after an activity: Escort the child to the door to ensure his/her safety., Check in with the parent/guardian at this time, letting him/her know how the activity went., Communicate any concerns about the child privately with the parent/guardian., I have read and fully understand the above child safety policies. If you have a question regarding one or more of the Child Safety policy items listed above, please write it here.  No questions Do you have any other questions or concerns you would like to discuss? If so, please provide a time and method of contact for me to follow up. Thank you for taking the time out of your schedule to check in.    Not at this time.</v>
          </cell>
          <cell r="E5" t="str">
            <v>Active</v>
          </cell>
          <cell r="F5" t="str">
            <v>0032J00003PLeoRQAT</v>
          </cell>
          <cell r="G5" t="str">
            <v>0032J00003Ph14N</v>
          </cell>
          <cell r="H5" t="str">
            <v>Hennepin</v>
          </cell>
          <cell r="J5">
            <v>61</v>
          </cell>
          <cell r="K5" t="str">
            <v>Finance: Banking</v>
          </cell>
          <cell r="M5">
            <v>43102</v>
          </cell>
          <cell r="O5" t="str">
            <v>No Preference</v>
          </cell>
          <cell r="P5" t="str">
            <v>Male</v>
          </cell>
          <cell r="Q5">
            <v>23316</v>
          </cell>
          <cell r="R5" t="str">
            <v>Wells Fargo</v>
          </cell>
          <cell r="S5" t="str">
            <v>General Community</v>
          </cell>
          <cell r="T5" t="str">
            <v>Community</v>
          </cell>
          <cell r="U5" t="str">
            <v>White or Caucasian;</v>
          </cell>
          <cell r="Y5"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5" t="str">
            <v>Male</v>
          </cell>
          <cell r="BL5" t="str">
            <v>Black or African American; White or Caucasian</v>
          </cell>
          <cell r="BM5">
            <v>39083</v>
          </cell>
          <cell r="BN5">
            <v>270030508182</v>
          </cell>
          <cell r="BQ5">
            <v>85.6</v>
          </cell>
        </row>
        <row r="6">
          <cell r="A6" t="str">
            <v>a1v2J0000027dtOQAQ</v>
          </cell>
          <cell r="B6">
            <v>43111</v>
          </cell>
          <cell r="C6">
            <v>43633</v>
          </cell>
          <cell r="D6" t="str">
            <v>Overall, the match sounds like it's going very well. BB speaks very highly of LB's maturity, curiosity, courteousness, and active engagement in their activities. He also mentioned that feedback from PG has been very positive. They visited Medtronic a few weeks ago for a career exploration activity and LB had an absolute blast and is now exploring engineering pathways. They plan to attend an FBI career seminar next week and the summer picnic in July. MEC also pushed for Science museum tickets, BB sounded highly interested. BB was concerned about a few things: 1) LB wants to know more about his father, who has never really been a part of his life, so BB will speak with PG about how to support that (MEC said ok as long as PG is on board); 2) BB and LB have begun to talk about faith and forgiveness, BB wants to speak with PG about furthering this conversation and possibly doing faith-based activities; 3) BB was concerned that their match would close as LB entered teenage years, MEC told him they would likely transition to a teen match; 4) BB is having some trouble with BigApp. This sounds like a highly engaged and active match and BB seems to have a skill for supporting LB in exploring his world both internally and externally. It sounds like this match has the potential for a very long lifespan and BB is extremely engaged.</v>
          </cell>
          <cell r="E6" t="str">
            <v>Active</v>
          </cell>
          <cell r="F6" t="str">
            <v>0032J00003PLeoRQAT</v>
          </cell>
          <cell r="G6" t="str">
            <v>0032J00003Ph14N</v>
          </cell>
          <cell r="H6" t="str">
            <v>Hennepin</v>
          </cell>
          <cell r="J6">
            <v>61</v>
          </cell>
          <cell r="K6" t="str">
            <v>Finance: Banking</v>
          </cell>
          <cell r="M6">
            <v>43102</v>
          </cell>
          <cell r="O6" t="str">
            <v>No Preference</v>
          </cell>
          <cell r="P6" t="str">
            <v>Male</v>
          </cell>
          <cell r="Q6">
            <v>23316</v>
          </cell>
          <cell r="R6" t="str">
            <v>Wells Fargo</v>
          </cell>
          <cell r="S6" t="str">
            <v>General Community</v>
          </cell>
          <cell r="T6" t="str">
            <v>Community</v>
          </cell>
          <cell r="U6" t="str">
            <v>White or Caucasian;</v>
          </cell>
          <cell r="Y6"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6" t="str">
            <v>Male</v>
          </cell>
          <cell r="BL6" t="str">
            <v>Black or African American; White or Caucasian</v>
          </cell>
          <cell r="BM6">
            <v>39083</v>
          </cell>
          <cell r="BN6">
            <v>270030508182</v>
          </cell>
          <cell r="BQ6">
            <v>85.6</v>
          </cell>
        </row>
        <row r="7">
          <cell r="A7" t="str">
            <v>a1v2J0000027dtOQAQ</v>
          </cell>
          <cell r="B7">
            <v>43111</v>
          </cell>
          <cell r="C7">
            <v>43467</v>
          </cell>
          <cell r="D7" t="str">
            <v>Question: Activities:           Answer: Aim Error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v>
          </cell>
          <cell r="E7" t="str">
            <v>Active</v>
          </cell>
          <cell r="F7" t="str">
            <v>0032J00003PLeoRQAT</v>
          </cell>
          <cell r="G7" t="str">
            <v>0032J00003Ph14N</v>
          </cell>
          <cell r="H7" t="str">
            <v>Hennepin</v>
          </cell>
          <cell r="J7">
            <v>61</v>
          </cell>
          <cell r="K7" t="str">
            <v>Finance: Banking</v>
          </cell>
          <cell r="M7">
            <v>43102</v>
          </cell>
          <cell r="O7" t="str">
            <v>No Preference</v>
          </cell>
          <cell r="P7" t="str">
            <v>Male</v>
          </cell>
          <cell r="Q7">
            <v>23316</v>
          </cell>
          <cell r="R7" t="str">
            <v>Wells Fargo</v>
          </cell>
          <cell r="S7" t="str">
            <v>General Community</v>
          </cell>
          <cell r="T7" t="str">
            <v>Community</v>
          </cell>
          <cell r="U7" t="str">
            <v>White or Caucasian;</v>
          </cell>
          <cell r="Y7"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7" t="str">
            <v>Male</v>
          </cell>
          <cell r="BL7" t="str">
            <v>Black or African American; White or Caucasian</v>
          </cell>
          <cell r="BM7">
            <v>39083</v>
          </cell>
          <cell r="BN7">
            <v>270030508182</v>
          </cell>
          <cell r="BQ7">
            <v>85.6</v>
          </cell>
        </row>
        <row r="8">
          <cell r="A8" t="str">
            <v>a1v2J0000027dtOQAQ</v>
          </cell>
          <cell r="B8">
            <v>43111</v>
          </cell>
          <cell r="C8">
            <v>43277</v>
          </cell>
          <cell r="D8" t="str">
            <v>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Voicemail received: B_first_name said that he was on vacation last week but the relationship with L_first_name is still going really well. For their last outing they went to the National Sports Center and watched some bike races. In July they are going to go to the BBBS picnic and then go to a Saints Game to make up for the rained out BBBS event. B_first_name said to call to follow up with any questions or concerns. MEC feels comfortable leaving this check in brief since everything was fine when we talked in person at the Saints game and MEC will see them at the picnic.</v>
          </cell>
          <cell r="E8" t="str">
            <v>Active</v>
          </cell>
          <cell r="F8" t="str">
            <v>0032J00003PLeoRQAT</v>
          </cell>
          <cell r="G8" t="str">
            <v>0032J00003Ph14N</v>
          </cell>
          <cell r="H8" t="str">
            <v>Hennepin</v>
          </cell>
          <cell r="J8">
            <v>61</v>
          </cell>
          <cell r="K8" t="str">
            <v>Finance: Banking</v>
          </cell>
          <cell r="M8">
            <v>43102</v>
          </cell>
          <cell r="O8" t="str">
            <v>No Preference</v>
          </cell>
          <cell r="P8" t="str">
            <v>Male</v>
          </cell>
          <cell r="Q8">
            <v>23316</v>
          </cell>
          <cell r="R8" t="str">
            <v>Wells Fargo</v>
          </cell>
          <cell r="S8" t="str">
            <v>General Community</v>
          </cell>
          <cell r="T8" t="str">
            <v>Community</v>
          </cell>
          <cell r="U8" t="str">
            <v>White or Caucasian;</v>
          </cell>
          <cell r="Y8"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8" t="str">
            <v>Male</v>
          </cell>
          <cell r="BL8" t="str">
            <v>Black or African American; White or Caucasian</v>
          </cell>
          <cell r="BM8">
            <v>39083</v>
          </cell>
          <cell r="BN8">
            <v>270030508182</v>
          </cell>
          <cell r="BQ8">
            <v>85.6</v>
          </cell>
        </row>
        <row r="9">
          <cell r="A9" t="str">
            <v>a1v2J0000027dtOQAQ</v>
          </cell>
          <cell r="B9">
            <v>43111</v>
          </cell>
          <cell r="C9">
            <v>43410</v>
          </cell>
          <cell r="D9" t="str">
            <v>Question: Activities:           Answer: MEC asked BB how things are going with match. BB reports things continue to go well. Last outing was canceled due to LB feeling sick. LB had asked BB to take him to Trail of Terror as a fun fall activity to do. BB was fine with it since they had talked about LB getting over his fear. They plan on going to Bowlero this weekend. MEC asked how scheduling is going since last check in with MEC PG said LB is really busy. LB is involved in basketball, football, and is in a play at school. LB did mention scheduling used to be a lot more challenging since BB did not have weekends availability. Now match will usually get together on the weekends or weekdays after school, depending on what they are doing or have planned. MEC thanked BB for working around LB schedule. BB said LB is a great kid and is doing great things. He is happy to be mentoring LB and did not report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great despite a few canceled outings. Last outing was canceled due to LB being sick and previously BB was on vacation. LB is busy with extra-curricular activities that he is involved in at school. This used to be a problem for match due to BB not being able to meet on weekends. However BB and LB work around his busy schedule. MEC has no concerns and will continue to support.</v>
          </cell>
          <cell r="E9" t="str">
            <v>Active</v>
          </cell>
          <cell r="F9" t="str">
            <v>0032J00003PLeoRQAT</v>
          </cell>
          <cell r="G9" t="str">
            <v>0032J00003Ph14N</v>
          </cell>
          <cell r="H9" t="str">
            <v>Hennepin</v>
          </cell>
          <cell r="J9">
            <v>61</v>
          </cell>
          <cell r="K9" t="str">
            <v>Finance: Banking</v>
          </cell>
          <cell r="M9">
            <v>43102</v>
          </cell>
          <cell r="O9" t="str">
            <v>No Preference</v>
          </cell>
          <cell r="P9" t="str">
            <v>Male</v>
          </cell>
          <cell r="Q9">
            <v>23316</v>
          </cell>
          <cell r="R9" t="str">
            <v>Wells Fargo</v>
          </cell>
          <cell r="S9" t="str">
            <v>General Community</v>
          </cell>
          <cell r="T9" t="str">
            <v>Community</v>
          </cell>
          <cell r="U9" t="str">
            <v>White or Caucasian;</v>
          </cell>
          <cell r="Y9"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9" t="str">
            <v>Male</v>
          </cell>
          <cell r="BL9" t="str">
            <v>Black or African American; White or Caucasian</v>
          </cell>
          <cell r="BM9">
            <v>39083</v>
          </cell>
          <cell r="BN9">
            <v>270030508182</v>
          </cell>
          <cell r="BQ9">
            <v>85.6</v>
          </cell>
        </row>
        <row r="10">
          <cell r="A10" t="str">
            <v>a1v2J0000027dtOQAQ</v>
          </cell>
          <cell r="B10">
            <v>43111</v>
          </cell>
          <cell r="C10">
            <v>43145</v>
          </cell>
          <cell r="D10" t="str">
            <v>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B_first_name said that everything in the match so far is great. The match meeting was great and for their first outing they went bowling. B_first_name said it wasn't awkward at all and they really connected. They also went to the library and played checkers and read a book. B_first_name also attended L_first_name's basketball game and he sat next to Jill and they talked quite a bit. They have really good communication. There are no concerns or questions about the match or program yet. MEC explained her role moving forward and told B_first_name he can always check in for questions, concerns, or ideas between monthly calls.</v>
          </cell>
          <cell r="E10" t="str">
            <v>Active</v>
          </cell>
          <cell r="F10" t="str">
            <v>0032J00003PLeoRQAT</v>
          </cell>
          <cell r="G10" t="str">
            <v>0032J00003Ph14N</v>
          </cell>
          <cell r="H10" t="str">
            <v>Hennepin</v>
          </cell>
          <cell r="J10">
            <v>61</v>
          </cell>
          <cell r="K10" t="str">
            <v>Finance: Banking</v>
          </cell>
          <cell r="M10">
            <v>43102</v>
          </cell>
          <cell r="O10" t="str">
            <v>No Preference</v>
          </cell>
          <cell r="P10" t="str">
            <v>Male</v>
          </cell>
          <cell r="Q10">
            <v>23316</v>
          </cell>
          <cell r="R10" t="str">
            <v>Wells Fargo</v>
          </cell>
          <cell r="S10" t="str">
            <v>General Community</v>
          </cell>
          <cell r="T10" t="str">
            <v>Community</v>
          </cell>
          <cell r="U10" t="str">
            <v>White or Caucasian;</v>
          </cell>
          <cell r="Y10"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10" t="str">
            <v>Male</v>
          </cell>
          <cell r="BL10" t="str">
            <v>Black or African American; White or Caucasian</v>
          </cell>
          <cell r="BM10">
            <v>39083</v>
          </cell>
          <cell r="BN10">
            <v>270030508182</v>
          </cell>
          <cell r="BQ10">
            <v>85.6</v>
          </cell>
        </row>
        <row r="11">
          <cell r="A11" t="str">
            <v>a1v2J0000027dtOQAQ</v>
          </cell>
          <cell r="B11">
            <v>43111</v>
          </cell>
          <cell r="C11">
            <v>43314</v>
          </cell>
          <cell r="D11" t="str">
            <v>Question: Activities:           Answer: **MEC error, MEC talked with Big at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error, MEC talked with Big at summer picnic**</v>
          </cell>
          <cell r="E11" t="str">
            <v>Active</v>
          </cell>
          <cell r="F11" t="str">
            <v>0032J00003PLeoRQAT</v>
          </cell>
          <cell r="G11" t="str">
            <v>0032J00003Ph14N</v>
          </cell>
          <cell r="H11" t="str">
            <v>Hennepin</v>
          </cell>
          <cell r="J11">
            <v>61</v>
          </cell>
          <cell r="K11" t="str">
            <v>Finance: Banking</v>
          </cell>
          <cell r="M11">
            <v>43102</v>
          </cell>
          <cell r="O11" t="str">
            <v>No Preference</v>
          </cell>
          <cell r="P11" t="str">
            <v>Male</v>
          </cell>
          <cell r="Q11">
            <v>23316</v>
          </cell>
          <cell r="R11" t="str">
            <v>Wells Fargo</v>
          </cell>
          <cell r="S11" t="str">
            <v>General Community</v>
          </cell>
          <cell r="T11" t="str">
            <v>Community</v>
          </cell>
          <cell r="U11" t="str">
            <v>White or Caucasian;</v>
          </cell>
          <cell r="Y11"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11" t="str">
            <v>Male</v>
          </cell>
          <cell r="BL11" t="str">
            <v>Black or African American; White or Caucasian</v>
          </cell>
          <cell r="BM11">
            <v>39083</v>
          </cell>
          <cell r="BN11">
            <v>270030508182</v>
          </cell>
          <cell r="BQ11">
            <v>85.6</v>
          </cell>
        </row>
        <row r="12">
          <cell r="A12" t="str">
            <v>a1v2J0000027dtOQAQ</v>
          </cell>
          <cell r="B12">
            <v>43111</v>
          </cell>
          <cell r="C12">
            <v>43297</v>
          </cell>
          <cell r="D12" t="str">
            <v>Question: Activities:           Answer: **Attended picnic** BIG: What is the best memory or story you have of your Little? I was teased in school but it was only a problem when I did it back or let it bother me. Little: How are you a good friend to your Big? What makes your Big a good friend? I am nice and he is very nice to me. BIG: What changes have you seen in your Little since you were matched? More open to sharing what has happened since we last met and what is going on in his life. Little: Are you attending any summer camps, classes, or activities? Yes I am in learning ventures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X No_____________________________________________________________________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*Attended picnic**</v>
          </cell>
          <cell r="E12" t="str">
            <v>Active</v>
          </cell>
          <cell r="F12" t="str">
            <v>0032J00003PLeoRQAT</v>
          </cell>
          <cell r="G12" t="str">
            <v>0032J00003Ph14N</v>
          </cell>
          <cell r="H12" t="str">
            <v>Hennepin</v>
          </cell>
          <cell r="J12">
            <v>61</v>
          </cell>
          <cell r="K12" t="str">
            <v>Finance: Banking</v>
          </cell>
          <cell r="M12">
            <v>43102</v>
          </cell>
          <cell r="O12" t="str">
            <v>No Preference</v>
          </cell>
          <cell r="P12" t="str">
            <v>Male</v>
          </cell>
          <cell r="Q12">
            <v>23316</v>
          </cell>
          <cell r="R12" t="str">
            <v>Wells Fargo</v>
          </cell>
          <cell r="S12" t="str">
            <v>General Community</v>
          </cell>
          <cell r="T12" t="str">
            <v>Community</v>
          </cell>
          <cell r="U12" t="str">
            <v>White or Caucasian;</v>
          </cell>
          <cell r="Y12"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12" t="str">
            <v>Male</v>
          </cell>
          <cell r="BL12" t="str">
            <v>Black or African American; White or Caucasian</v>
          </cell>
          <cell r="BM12">
            <v>39083</v>
          </cell>
          <cell r="BN12">
            <v>270030508182</v>
          </cell>
          <cell r="BQ12">
            <v>85.6</v>
          </cell>
        </row>
        <row r="13">
          <cell r="A13" t="str">
            <v>a1v2J0000027dtOQAQ</v>
          </cell>
          <cell r="B13">
            <v>43111</v>
          </cell>
          <cell r="C13">
            <v>43348</v>
          </cell>
          <cell r="D13" t="str">
            <v>Question: Activities:           Answer: MEC asked B_first_name how everything is going. Big indicated things continue to go well. This is a very strong match that gets together frequently. Big indicated last outing was last week. Match went to Adventure Park. MEC asked Big what that was, he said "they have trampolines, it is like ninja warrior". Big said he had fun despite the age difference. Big said he thought he was too old for most of the activities there. Communication with PG is going well. Little started school on Tuesday but Big doesn't expect schedule to change. Big isn't sure what to do for next outing, MEC suggested Bigs Page and also Wilderness Inquiry event. Big seemed more interested and that and requested MEC email him event flyer. MEC has no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very strong and continues to go well. Outings are regular and communication continues to go well. Big requested MEC help with activity planning. MEC followed up with email. MEC has no concerns at this time.</v>
          </cell>
          <cell r="E13" t="str">
            <v>Active</v>
          </cell>
          <cell r="F13" t="str">
            <v>0032J00003PLeoRQAT</v>
          </cell>
          <cell r="G13" t="str">
            <v>0032J00003Ph14N</v>
          </cell>
          <cell r="H13" t="str">
            <v>Hennepin</v>
          </cell>
          <cell r="J13">
            <v>61</v>
          </cell>
          <cell r="K13" t="str">
            <v>Finance: Banking</v>
          </cell>
          <cell r="M13">
            <v>43102</v>
          </cell>
          <cell r="O13" t="str">
            <v>No Preference</v>
          </cell>
          <cell r="P13" t="str">
            <v>Male</v>
          </cell>
          <cell r="Q13">
            <v>23316</v>
          </cell>
          <cell r="R13" t="str">
            <v>Wells Fargo</v>
          </cell>
          <cell r="S13" t="str">
            <v>General Community</v>
          </cell>
          <cell r="T13" t="str">
            <v>Community</v>
          </cell>
          <cell r="U13" t="str">
            <v>White or Caucasian;</v>
          </cell>
          <cell r="Y13"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13" t="str">
            <v>Male</v>
          </cell>
          <cell r="BL13" t="str">
            <v>Black or African American; White or Caucasian</v>
          </cell>
          <cell r="BM13">
            <v>39083</v>
          </cell>
          <cell r="BN13">
            <v>270030508182</v>
          </cell>
          <cell r="BQ13">
            <v>85.6</v>
          </cell>
        </row>
        <row r="14">
          <cell r="A14" t="str">
            <v>a1v2J0000027dtOQAQ</v>
          </cell>
          <cell r="B14">
            <v>43111</v>
          </cell>
          <cell r="C14">
            <v>43445</v>
          </cell>
          <cell r="D14" t="str">
            <v>Question: Activities:           Answer: Event and date: ¬¬¬¬¬¬¬¬¬¬¬¬¬¬¬¬Winter Picnic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we both have many things in common 2. Big: Does your Little communicate more easily with adults or peers? Why? L_first_name can converse with anyone young or old- good listener Little: If you had to eat the same meal for the rest of your life, what food would you choose and why? Croissants because you can eat them for ever 3. As a match, do you and your Little have a New Year?s resolution or goal? Explain Continue to stay connected and meet regularly like we did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No_X____________________________________________________________________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glad she was finally able to meet match in person. LB is so sweet and respectful. MEC brieflt chatted with him about his school play and other extra curricular activities he is involved in. Match is very strong. MEC has no concerns and will continue to support.</v>
          </cell>
          <cell r="E14" t="str">
            <v>Active</v>
          </cell>
          <cell r="F14" t="str">
            <v>0032J00003PLeoRQAT</v>
          </cell>
          <cell r="G14" t="str">
            <v>0032J00003Ph14N</v>
          </cell>
          <cell r="H14" t="str">
            <v>Hennepin</v>
          </cell>
          <cell r="J14">
            <v>61</v>
          </cell>
          <cell r="K14" t="str">
            <v>Finance: Banking</v>
          </cell>
          <cell r="M14">
            <v>43102</v>
          </cell>
          <cell r="O14" t="str">
            <v>No Preference</v>
          </cell>
          <cell r="P14" t="str">
            <v>Male</v>
          </cell>
          <cell r="Q14">
            <v>23316</v>
          </cell>
          <cell r="R14" t="str">
            <v>Wells Fargo</v>
          </cell>
          <cell r="S14" t="str">
            <v>General Community</v>
          </cell>
          <cell r="T14" t="str">
            <v>Community</v>
          </cell>
          <cell r="U14" t="str">
            <v>White or Caucasian;</v>
          </cell>
          <cell r="Y14"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14" t="str">
            <v>Male</v>
          </cell>
          <cell r="BL14" t="str">
            <v>Black or African American; White or Caucasian</v>
          </cell>
          <cell r="BM14">
            <v>39083</v>
          </cell>
          <cell r="BN14">
            <v>270030508182</v>
          </cell>
          <cell r="BQ14">
            <v>85.6</v>
          </cell>
        </row>
        <row r="15">
          <cell r="A15" t="str">
            <v>a1v2J0000027dtOQAQ</v>
          </cell>
          <cell r="B15">
            <v>43111</v>
          </cell>
          <cell r="C15">
            <v>43381</v>
          </cell>
          <cell r="D15" t="str">
            <v>Question: Activities:           Answer: Last outing we went to Urban Air - an indoor activity park (trampolines, obstacle courses, climbing walls). Will attend Football game next week. Planning activities is getting more difficult (school activities, weather, variety). 2. What are some areas you would like to help your Little grow in? Being more in the moment less cell phone. 3. Was there ever a time you had difficulty saying NO to your Little? If so, what happened? No. He is very respectful. 4. What opportunities do you give your Little to make decisions? What decisions have you and your Little made together? When we attend a function he will make the decision on what activities we do. We usually decide together when we are done. 5. Do you have anything else you would like to share, any concerns (communication with parent/ activity planning)? Do you have any updates to report (i.e new job, new address, contact information)? We did not get together in September but I will see him next week (football game). MEC response: Hi B_first_name, Thank you for checking in with me this month. When I spoke with Jill in September she did mention they were out of town. I am glad you and L_first_name are able to schedule and outing for this month. As far as activities go, I recommend checking out our Bigs page https://www.bigstwincities.org/bigs/. We have a lot of fun events planned for October like our Fall Festival, Outdoor Buddies Log Rolling, and Film Fest. I also attached a document with community events for October. If you need any additional support on this please let me know. Have a great Monday!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Match was not able to see each other in September due to family being out of town. Big and LB are now scheduled to attend a football game together. Big continues to have great communication with PG. MEC has no concerns, match has a great relationship. Will continue with regular support.</v>
          </cell>
          <cell r="E15" t="str">
            <v>Active</v>
          </cell>
          <cell r="F15" t="str">
            <v>0032J00003PLeoRQAT</v>
          </cell>
          <cell r="G15" t="str">
            <v>0032J00003Ph14N</v>
          </cell>
          <cell r="H15" t="str">
            <v>Hennepin</v>
          </cell>
          <cell r="J15">
            <v>61</v>
          </cell>
          <cell r="K15" t="str">
            <v>Finance: Banking</v>
          </cell>
          <cell r="M15">
            <v>43102</v>
          </cell>
          <cell r="O15" t="str">
            <v>No Preference</v>
          </cell>
          <cell r="P15" t="str">
            <v>Male</v>
          </cell>
          <cell r="Q15">
            <v>23316</v>
          </cell>
          <cell r="R15" t="str">
            <v>Wells Fargo</v>
          </cell>
          <cell r="S15" t="str">
            <v>General Community</v>
          </cell>
          <cell r="T15" t="str">
            <v>Community</v>
          </cell>
          <cell r="U15" t="str">
            <v>White or Caucasian;</v>
          </cell>
          <cell r="Y15"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15" t="str">
            <v>Male</v>
          </cell>
          <cell r="BL15" t="str">
            <v>Black or African American; White or Caucasian</v>
          </cell>
          <cell r="BM15">
            <v>39083</v>
          </cell>
          <cell r="BN15">
            <v>270030508182</v>
          </cell>
          <cell r="BQ15">
            <v>85.6</v>
          </cell>
        </row>
        <row r="16">
          <cell r="A16" t="str">
            <v>a1v2J0000027dtOQAQ</v>
          </cell>
          <cell r="B16">
            <v>43111</v>
          </cell>
          <cell r="C16">
            <v>43236</v>
          </cell>
          <cell r="D16" t="str">
            <v>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Attended Saints Game BIG: What are three things that your little excels at? Extremely outing (carrying conversation), football, acting Little: What is your favorite subject in school? Least favorite? Favorite - gym, worst - math BIG: What have you learned from your little? Smart, well mannered, respectful Little: What have you learned from your BIG? How to play bowling better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X No: ____________________________________________________________</v>
          </cell>
          <cell r="E16" t="str">
            <v>Active</v>
          </cell>
          <cell r="F16" t="str">
            <v>0032J00003PLeoRQAT</v>
          </cell>
          <cell r="G16" t="str">
            <v>0032J00003Ph14N</v>
          </cell>
          <cell r="H16" t="str">
            <v>Hennepin</v>
          </cell>
          <cell r="J16">
            <v>61</v>
          </cell>
          <cell r="K16" t="str">
            <v>Finance: Banking</v>
          </cell>
          <cell r="M16">
            <v>43102</v>
          </cell>
          <cell r="O16" t="str">
            <v>No Preference</v>
          </cell>
          <cell r="P16" t="str">
            <v>Male</v>
          </cell>
          <cell r="Q16">
            <v>23316</v>
          </cell>
          <cell r="R16" t="str">
            <v>Wells Fargo</v>
          </cell>
          <cell r="S16" t="str">
            <v>General Community</v>
          </cell>
          <cell r="T16" t="str">
            <v>Community</v>
          </cell>
          <cell r="U16" t="str">
            <v>White or Caucasian;</v>
          </cell>
          <cell r="Y16"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16" t="str">
            <v>Male</v>
          </cell>
          <cell r="BL16" t="str">
            <v>Black or African American; White or Caucasian</v>
          </cell>
          <cell r="BM16">
            <v>39083</v>
          </cell>
          <cell r="BN16">
            <v>270030508182</v>
          </cell>
          <cell r="BQ16">
            <v>85.6</v>
          </cell>
        </row>
        <row r="17">
          <cell r="A17" t="str">
            <v>a1v2J0000027dtOQAQ</v>
          </cell>
          <cell r="B17">
            <v>43111</v>
          </cell>
          <cell r="C17">
            <v>43501</v>
          </cell>
          <cell r="D17" t="str">
            <v>Question: Activities:           Answer: MEC checked in with BB this month. BB said PG is undergoing chemotherapy sessions right now. It has been difficult scheduling outings because LB is in the care of a neighbor while mom is going to chemotherapy. The last time match got together was some weeks ago when BB went to LB basketball game. That is when PG told BB about her chemotherapy. MEC asked BB if he had a chance to talk to LB about it, he has not. BB said he understands this is a difficult time for family and is being patient. He will reach out to mom but understands that scheduling outings at this time but be hard. MEC said she understands and thanked BB for his patience. MEC said if BB needs any additional support to please reach out.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and LB have not gotten together in a few weeks. Last time they got together BB went to LB basketball game. PG disclosed that she is going to chemotherapy sessions. BB is being patient with family as he knows scheduling outings during this time can be difficult. MEC said she understands and appreciates his patience. MEC will continue to support match.</v>
          </cell>
          <cell r="E17" t="str">
            <v>Active</v>
          </cell>
          <cell r="F17" t="str">
            <v>0032J00003PLeoRQAT</v>
          </cell>
          <cell r="G17" t="str">
            <v>0032J00003Ph14N</v>
          </cell>
          <cell r="H17" t="str">
            <v>Hennepin</v>
          </cell>
          <cell r="J17">
            <v>61</v>
          </cell>
          <cell r="K17" t="str">
            <v>Finance: Banking</v>
          </cell>
          <cell r="M17">
            <v>43102</v>
          </cell>
          <cell r="O17" t="str">
            <v>No Preference</v>
          </cell>
          <cell r="P17" t="str">
            <v>Male</v>
          </cell>
          <cell r="Q17">
            <v>23316</v>
          </cell>
          <cell r="R17" t="str">
            <v>Wells Fargo</v>
          </cell>
          <cell r="S17" t="str">
            <v>General Community</v>
          </cell>
          <cell r="T17" t="str">
            <v>Community</v>
          </cell>
          <cell r="U17" t="str">
            <v>White or Caucasian;</v>
          </cell>
          <cell r="Y17"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17" t="str">
            <v>Male</v>
          </cell>
          <cell r="BL17" t="str">
            <v>Black or African American; White or Caucasian</v>
          </cell>
          <cell r="BM17">
            <v>39083</v>
          </cell>
          <cell r="BN17">
            <v>270030508182</v>
          </cell>
          <cell r="BQ17">
            <v>85.6</v>
          </cell>
        </row>
        <row r="18">
          <cell r="A18" t="str">
            <v>a1v2J0000027dtOQAQ</v>
          </cell>
          <cell r="B18">
            <v>43111</v>
          </cell>
          <cell r="C18">
            <v>43179</v>
          </cell>
          <cell r="D18" t="str">
            <v>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B_first_name said that everything is going well. They only have gotten together once since we last spoke and they went roller skating. B_first_name said it pushed him out of his comfort zone because he hasn't skated for 15 years, but he had a lot of fun. They are looking forward to going biking this summer. B_first_name also gave a list of ideas to L_first_name for things for them to do this summer. MEC asked B_first_name about the Match Connection party and sent him the registration information for April's parties. B_first_name said that L_first_name is a great young man. Conversations are really good and he said L_first_name is very outgoing. He also said that L_first_name wears his seatbelt in the car. Match continues to go strong and B_first_name didn't have any questions or concerns.</v>
          </cell>
          <cell r="E18" t="str">
            <v>Active</v>
          </cell>
          <cell r="F18" t="str">
            <v>0032J00003PLeoRQAT</v>
          </cell>
          <cell r="G18" t="str">
            <v>0032J00003Ph14N</v>
          </cell>
          <cell r="H18" t="str">
            <v>Hennepin</v>
          </cell>
          <cell r="J18">
            <v>61</v>
          </cell>
          <cell r="K18" t="str">
            <v>Finance: Banking</v>
          </cell>
          <cell r="M18">
            <v>43102</v>
          </cell>
          <cell r="O18" t="str">
            <v>No Preference</v>
          </cell>
          <cell r="P18" t="str">
            <v>Male</v>
          </cell>
          <cell r="Q18">
            <v>23316</v>
          </cell>
          <cell r="R18" t="str">
            <v>Wells Fargo</v>
          </cell>
          <cell r="S18" t="str">
            <v>General Community</v>
          </cell>
          <cell r="T18" t="str">
            <v>Community</v>
          </cell>
          <cell r="U18" t="str">
            <v>White or Caucasian;</v>
          </cell>
          <cell r="Y18"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18" t="str">
            <v>Male</v>
          </cell>
          <cell r="BL18" t="str">
            <v>Black or African American; White or Caucasian</v>
          </cell>
          <cell r="BM18">
            <v>39083</v>
          </cell>
          <cell r="BN18">
            <v>270030508182</v>
          </cell>
          <cell r="BQ18">
            <v>85.6</v>
          </cell>
        </row>
        <row r="19">
          <cell r="A19" t="str">
            <v>a1v2J0000027dtOQAQ</v>
          </cell>
          <cell r="B19">
            <v>43111</v>
          </cell>
          <cell r="C19">
            <v>43215</v>
          </cell>
          <cell r="D19" t="str">
            <v>Question: Activities:           Answer: See notes Question: Child Safety:           Answer: See notes Question: Child Development:           Answer: See notes Question: Child/Volunteer Relationship development:           Answer: See notes Question: Relationship with BBBS:           Answer: See notes Question: Parent/Volunteer Concerns:           Answer: Seen otes Question: Other Comments-List progress/activities in school and in JJ System:           Answer: See notes Question: MSS Notes:           Answer: B_first_name said that things are going well. Unforuntunately their match party was cancelled and they weren't able to get together that evening to do something else. B_first_name and L_first_name do have plans to go biking this week though since the weather will be nicer and they will be attending the Saints game. MEC reminded B_first_name to make sure that L_first_name wears a helmet when they ride their bikes, and that she is excited to meet them at the Saints game. B_first_name asked if there is a Match Connection party for May. MEC will email him the information for upcomimg match parties. MEC has no concerns about the match and thinks that they will find a lot more to connect over after they can do some outdoor activities.</v>
          </cell>
          <cell r="E19" t="str">
            <v>Active</v>
          </cell>
          <cell r="F19" t="str">
            <v>0032J00003PLeoRQAT</v>
          </cell>
          <cell r="G19" t="str">
            <v>0032J00003Ph14N</v>
          </cell>
          <cell r="H19" t="str">
            <v>Hennepin</v>
          </cell>
          <cell r="J19">
            <v>61</v>
          </cell>
          <cell r="K19" t="str">
            <v>Finance: Banking</v>
          </cell>
          <cell r="M19">
            <v>43102</v>
          </cell>
          <cell r="O19" t="str">
            <v>No Preference</v>
          </cell>
          <cell r="P19" t="str">
            <v>Male</v>
          </cell>
          <cell r="Q19">
            <v>23316</v>
          </cell>
          <cell r="R19" t="str">
            <v>Wells Fargo</v>
          </cell>
          <cell r="S19" t="str">
            <v>General Community</v>
          </cell>
          <cell r="T19" t="str">
            <v>Community</v>
          </cell>
          <cell r="U19" t="str">
            <v>White or Caucasian;</v>
          </cell>
          <cell r="Y19"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19" t="str">
            <v>Male</v>
          </cell>
          <cell r="BL19" t="str">
            <v>Black or African American; White or Caucasian</v>
          </cell>
          <cell r="BM19">
            <v>39083</v>
          </cell>
          <cell r="BN19">
            <v>270030508182</v>
          </cell>
          <cell r="BQ19">
            <v>85.6</v>
          </cell>
        </row>
        <row r="20">
          <cell r="A20" t="str">
            <v>a1v2J0000027dtOQAQ</v>
          </cell>
          <cell r="B20">
            <v>43111</v>
          </cell>
          <cell r="C20">
            <v>44236</v>
          </cell>
          <cell r="D20" t="str">
            <v>BBBS February 2021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Na What activities (virtual or in-person) have you been doing? Please describe any recent highlights or challenges?  * A couple of texts to see how they are doing. One email to L_first_name?s mom to gauge interest in BBBS activities being offered. Please describe how your conversations have been going recently. What do you usually talk about? Have there been any significant changes in your lives?  * Just ask how they are doing. Please describe how you support your Little to learn, grow, complete tasks, or achieve goals:  * Na Please describe how your Little provides you with support to learn, grow, complete tasks, or achieve goals:  * Na Has your Little expressed what they're thinking about when it comes to life after high school? Is there anything they are passionate about?  * Yes. College, law, real estate How can you help your Little learn more about college and careers?  * Continue to have conversations, recommend studies, take to career activities. Have you recently discussed your plan or specific rules for safe in person meetups with your Little's parent/guardian? If so, please give me an update:  * No Have you had any issues with communication, planning activities, or budgeting with your Little and their Parent/Guardian? If so, please describe.  * Limited communication. Policy &amp; Guideline Reminder: Emergency Situations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None at this time unless you have feedback from L_first_name or his Mom that you can share with me.</v>
          </cell>
          <cell r="E20" t="str">
            <v>Active</v>
          </cell>
          <cell r="F20" t="str">
            <v>0032J00003PLeoRQAT</v>
          </cell>
          <cell r="G20" t="str">
            <v>0032J00003Ph14N</v>
          </cell>
          <cell r="H20" t="str">
            <v>Hennepin</v>
          </cell>
          <cell r="J20">
            <v>61</v>
          </cell>
          <cell r="K20" t="str">
            <v>Finance: Banking</v>
          </cell>
          <cell r="M20">
            <v>43102</v>
          </cell>
          <cell r="O20" t="str">
            <v>No Preference</v>
          </cell>
          <cell r="P20" t="str">
            <v>Male</v>
          </cell>
          <cell r="Q20">
            <v>23316</v>
          </cell>
          <cell r="R20" t="str">
            <v>Wells Fargo</v>
          </cell>
          <cell r="S20" t="str">
            <v>General Community</v>
          </cell>
          <cell r="T20" t="str">
            <v>Community</v>
          </cell>
          <cell r="U20" t="str">
            <v>White or Caucasian;</v>
          </cell>
          <cell r="Y20"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20" t="str">
            <v>Male</v>
          </cell>
          <cell r="BL20" t="str">
            <v>Black or African American; White or Caucasian</v>
          </cell>
          <cell r="BM20">
            <v>39083</v>
          </cell>
          <cell r="BN20">
            <v>270030508182</v>
          </cell>
          <cell r="BQ20">
            <v>85.6</v>
          </cell>
        </row>
        <row r="21">
          <cell r="A21" t="str">
            <v>a1v2J0000027dtOQAQ</v>
          </cell>
          <cell r="B21">
            <v>43111</v>
          </cell>
          <cell r="C21">
            <v>45701</v>
          </cell>
          <cell r="D21" t="str">
            <v>Hi B_first_name, As your Little?s graduation approaches, we want to keep you informed about key events like  Match Celebration ,  scholarship opportunities , and ways to best support them during their senior year. Please take a moment to confirm or update your contact information below: Email:   email_address Phone Number:  phone_number Address: 3630 102nd Ln N Minneapolis, MN 55443 Is your Little on track to graduate? What are their post-high school plans? Are they considering applying for scholarships? Kindly reply to confirm if the information above is correct. If updates are needed, please provide the correct details at your earliest convenience. If your Little is not graduating this year or expects a delayed graduation, please let us know.   Save the Date!   Join us for the  Match Celebration  at the  Mall of America  on  Friday, May 16th, from 6?8 PM  to celebrate your Little?s graduation and reflect on your incredible match journey?from your first introduction to today! We?re excited to support you and your Little through this important milestone. Let us know how we can help! Best,  Nicki Berger Hi Nicki, My contact information listed is correct. L_first_name is on track to graduate and plans to attend college. Yes to applying for scholarships. Thank you B_first_name for your quick response! I hope we get to celebrate your match in May at our graduation!  Before then, if you have any questions or anything would be helpful, please let me know!  Best,  Nicki Berger</v>
          </cell>
          <cell r="E21" t="str">
            <v>Active</v>
          </cell>
          <cell r="F21" t="str">
            <v>0032J00003PLeoRQAT</v>
          </cell>
          <cell r="G21" t="str">
            <v>0032J00003Ph14N</v>
          </cell>
          <cell r="H21" t="str">
            <v>Hennepin</v>
          </cell>
          <cell r="J21">
            <v>61</v>
          </cell>
          <cell r="K21" t="str">
            <v>Finance: Banking</v>
          </cell>
          <cell r="M21">
            <v>43102</v>
          </cell>
          <cell r="O21" t="str">
            <v>No Preference</v>
          </cell>
          <cell r="P21" t="str">
            <v>Male</v>
          </cell>
          <cell r="Q21">
            <v>23316</v>
          </cell>
          <cell r="R21" t="str">
            <v>Wells Fargo</v>
          </cell>
          <cell r="S21" t="str">
            <v>General Community</v>
          </cell>
          <cell r="T21" t="str">
            <v>Community</v>
          </cell>
          <cell r="U21" t="str">
            <v>White or Caucasian;</v>
          </cell>
          <cell r="Y21"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21" t="str">
            <v>Male</v>
          </cell>
          <cell r="BL21" t="str">
            <v>Black or African American; White or Caucasian</v>
          </cell>
          <cell r="BM21">
            <v>39083</v>
          </cell>
          <cell r="BN21">
            <v>270030508182</v>
          </cell>
          <cell r="BQ21">
            <v>85.6</v>
          </cell>
        </row>
        <row r="22">
          <cell r="A22" t="str">
            <v>a1v2J0000027dtOQAQ</v>
          </cell>
          <cell r="B22">
            <v>43111</v>
          </cell>
          <cell r="C22">
            <v>45671</v>
          </cell>
          <cell r="D22" t="str">
            <v>MEC Connected with Big on 1/14 @ 9a MEC asked how Big was doing in the new year and Big said he is feeling good. MEC asked if he had seen Little much and Big said no they haven't gotten together much but that he did see him last week for dinner where he talked about his new girlfriend and school and future plans. MEC celebrated this and asked if Little had decided on a school and if he was going for track. Big said Little is leaning towards UMD in Duluth but has some other options on the table as well. Little doesn't quite know what he wants to study yet. MEC said that Little has a lot going on and asked if that has been the biggest barrier to getting together and Big said yeah he is "an after thought to him now". Big said that Little is doing full time PCSO as a senior which takes up a lot of time. MEC asked if he celebrated his 18th b-day and Big said yes. MEC shared that they are celebrating 7 years together this month and encouraged Big to find a way to celebrate and Big said that was what the dinner was last week. MEC said she saw in the notes that Big wanted to talk about their relationship after the program and Big confirmed. MEC shared that we celebrate our matches that are graduating the program in the spring and shared what last years ceremony looked like, and encouraged the match to attend this year. MEC said that match relationships can look a variety of ways, that some stay in contact and some don't, but they are welcome to continue that relationship what ever works best for them. MEC shared that Little will have access to our CFR team that he can reach out to post grad if he would like and that Big can start thinking if he would like to be rematched. Big said he doesn't want to right now as he had no grandkids when he entered the program and now he has 8 which take up a lot of his time. Big said he shouldn't put it all on Little, that he too is busy and has made it harder to get together. MEC asked if he had any more questions and Big said no. MEC said they would have one final check in in the spring but encouraged Big to reach out if they had any questions before then.</v>
          </cell>
          <cell r="E22" t="str">
            <v>Active</v>
          </cell>
          <cell r="F22" t="str">
            <v>0032J00003PLeoRQAT</v>
          </cell>
          <cell r="G22" t="str">
            <v>0032J00003Ph14N</v>
          </cell>
          <cell r="H22" t="str">
            <v>Hennepin</v>
          </cell>
          <cell r="J22">
            <v>61</v>
          </cell>
          <cell r="K22" t="str">
            <v>Finance: Banking</v>
          </cell>
          <cell r="M22">
            <v>43102</v>
          </cell>
          <cell r="O22" t="str">
            <v>No Preference</v>
          </cell>
          <cell r="P22" t="str">
            <v>Male</v>
          </cell>
          <cell r="Q22">
            <v>23316</v>
          </cell>
          <cell r="R22" t="str">
            <v>Wells Fargo</v>
          </cell>
          <cell r="S22" t="str">
            <v>General Community</v>
          </cell>
          <cell r="T22" t="str">
            <v>Community</v>
          </cell>
          <cell r="U22" t="str">
            <v>White or Caucasian;</v>
          </cell>
          <cell r="Y22"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22" t="str">
            <v>Male</v>
          </cell>
          <cell r="BL22" t="str">
            <v>Black or African American; White or Caucasian</v>
          </cell>
          <cell r="BM22">
            <v>39083</v>
          </cell>
          <cell r="BN22">
            <v>270030508182</v>
          </cell>
          <cell r="BQ22">
            <v>85.6</v>
          </cell>
        </row>
        <row r="23">
          <cell r="A23" t="str">
            <v>a1v2J0000027dtOQAQ</v>
          </cell>
          <cell r="B23">
            <v>43111</v>
          </cell>
          <cell r="C23">
            <v>45572</v>
          </cell>
          <cell r="D23" t="str">
            <v>BBBS October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text or email once I read through your responses. * Indicates required question Your name (first and last) * B_first_name B_last_name Little's name (first and last)  * L_first_name L_last_name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Life has become very busy for both of us. L_first_name with school, college courses, extracurricular activities. No plan. How long does your match typically spend together each outing? * 3 hours What activities have you and your Little done together since our last check-in?  * NA Are there any photos you would like to share?  Add file If you have been matched for LESS THAN ONE YEAR : Your Little's "Youth Goal" is to get to know you, their Big, and have fun! Tell me about how you feel like your relationship is developing, from your perspective. * NA If you have been matched for MORE THAN ONE YEAR:  How is your "youth goal" going? If you don't know or aren't sure, what is something that you're working on together right now? Planning post high schools goals would be a good thing to work on. How would you define mentorship?  * Relationship where experience and knowledge are shared in a safe setting. Please respond after reading the Safety Reminder below:  Activity Setting / Location ? It is encouraged that matches participate in BBBSTC sponsored events and activities in the community. ? During the first three months of the match relationship, all activities must take place outside of the volunteer?s home. ? After the three month waiting period, matches must be pre-approved by BBBS staff and parent/ guardian prior to the child/youth visiting a volunteer?s home. After the home visit pre-approval process has been completed, matches are to do no more than 50% of their activities at the volunteer?s home. * I have read &amp; understand the safety reminder. I have questions that I would like to discuss further. If you have a question about the safety reminder, please share the question here.  Do you have any updates you would like to share? (Life changes, moving, contact information updates, etc) * No Two of of our organizational values are Belonging and Continuous Learning &amp; Improvement, so we want to better understand how you're feeling about your experience with our program and in what ways we can provide better support. How satisfied are you with the support you are receiving from Big Brothers Big Sisters? (1 being the lowest and 4 being the highest)? 3 satisfied Please share a bit more about why you gave the rating you did.  Overall support is very good. Mentoring is hard work! How can I support you? * What to do as relationship wanes. This form will count as your monthly support check-in. If you would like to schedule a follow-up phone conversation, please use this link to schedule a call : https://bbbsgtc.as.me/NB Hey B_first_name, thank you for filling out the form! I am bummed to hear that you and L_first_name haven't been able to get together and have no plans on the books yet. I will say this is a common experience for high school matches, especially as Littles begin to plan for graduation. I may encourage you to start a conversation with L_first_name, recognizing that things feel different and that he is prepping to graduate and asking him what he wants this year to look like for you two. You can offer to meet at whatever frequency makes sense for your match right now. We do have an upcoming Senior Cohort event on 10/22 which I encourage you to check out: https://www.bigstwincities.org/event/class-of-2025-map-to-greatness/ attending the Senior Cohort events could be a good goal for you two this year. Please let me know if anything would be helpful.</v>
          </cell>
          <cell r="E23" t="str">
            <v>Active</v>
          </cell>
          <cell r="F23" t="str">
            <v>0032J00003PLeoRQAT</v>
          </cell>
          <cell r="G23" t="str">
            <v>0032J00003Ph14N</v>
          </cell>
          <cell r="H23" t="str">
            <v>Hennepin</v>
          </cell>
          <cell r="J23">
            <v>61</v>
          </cell>
          <cell r="K23" t="str">
            <v>Finance: Banking</v>
          </cell>
          <cell r="M23">
            <v>43102</v>
          </cell>
          <cell r="O23" t="str">
            <v>No Preference</v>
          </cell>
          <cell r="P23" t="str">
            <v>Male</v>
          </cell>
          <cell r="Q23">
            <v>23316</v>
          </cell>
          <cell r="R23" t="str">
            <v>Wells Fargo</v>
          </cell>
          <cell r="S23" t="str">
            <v>General Community</v>
          </cell>
          <cell r="T23" t="str">
            <v>Community</v>
          </cell>
          <cell r="U23" t="str">
            <v>White or Caucasian;</v>
          </cell>
          <cell r="Y23"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23" t="str">
            <v>Male</v>
          </cell>
          <cell r="BL23" t="str">
            <v>Black or African American; White or Caucasian</v>
          </cell>
          <cell r="BM23">
            <v>39083</v>
          </cell>
          <cell r="BN23">
            <v>270030508182</v>
          </cell>
          <cell r="BQ23">
            <v>85.6</v>
          </cell>
        </row>
        <row r="24">
          <cell r="A24" t="str">
            <v>a1v2J0000027dtOQAQ</v>
          </cell>
          <cell r="B24">
            <v>43111</v>
          </cell>
          <cell r="C24">
            <v>45483</v>
          </cell>
          <cell r="D24" t="str">
            <v>BBBS July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L_last_name How satisfied are you right now in your match * 3 satisfied How satisfied are you right now with your BBBS experience?  * 4 satisfied Approximately how many times has your match gotten together since your last check-in? (1 month for matches less than 1 year, 3 months for matches more than 1 year) * 0 If you have not met, do you know why? Do you have a plan to meet soon? Be sure to also discuss any summer-related routine changes or scheduling conflicts! * L_first_name is away at camp. We have been texting. How long does your match typically spend together each outing? * 3 hours What activities have you and your Little done together since our last check-in?  * NA Are there any photos you would like to share?  Add file How does your identity and lived experiences relate or influence your experience of being a mentor? * Have gone through college/career selection myself and with my kids. A big part of L_first_name?s thought process now. As well as living our Christian faith. Check out our  MatchBook . What is a resource that you find particularly helpful? What resource or information would you like to add?  * NA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NA Mentoring is hard work! How can I support you? * Nothing at this time. This form will count as your monthly support check-in. If you would like to schedule a follow-up phone conversation, please use this link to schedule a call : https://bbbsgtc.as.me/NB Hi B_first_name, thank you for filling out the form! I am glad to hear that you and L_first_name have been able to stay in contact while he is at camp and look forward to continuing to hear how his college process goes this year! As an upcoming senior you both will be a part of our Class of 2025 Cohort which will include special events, scholarships and tours, so keep an eye out for that. Our first event will be the kickoff on 8/10 and I hope to see you there: https://www.bigstwincities.org/event/class-of-2025-kickoff/ Please let me know if you have any questions or if anything would be helpful!</v>
          </cell>
          <cell r="E24" t="str">
            <v>Active</v>
          </cell>
          <cell r="F24" t="str">
            <v>0032J00003PLeoRQAT</v>
          </cell>
          <cell r="G24" t="str">
            <v>0032J00003Ph14N</v>
          </cell>
          <cell r="H24" t="str">
            <v>Hennepin</v>
          </cell>
          <cell r="J24">
            <v>61</v>
          </cell>
          <cell r="K24" t="str">
            <v>Finance: Banking</v>
          </cell>
          <cell r="M24">
            <v>43102</v>
          </cell>
          <cell r="O24" t="str">
            <v>No Preference</v>
          </cell>
          <cell r="P24" t="str">
            <v>Male</v>
          </cell>
          <cell r="Q24">
            <v>23316</v>
          </cell>
          <cell r="R24" t="str">
            <v>Wells Fargo</v>
          </cell>
          <cell r="S24" t="str">
            <v>General Community</v>
          </cell>
          <cell r="T24" t="str">
            <v>Community</v>
          </cell>
          <cell r="U24" t="str">
            <v>White or Caucasian;</v>
          </cell>
          <cell r="Y24"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24" t="str">
            <v>Male</v>
          </cell>
          <cell r="BL24" t="str">
            <v>Black or African American; White or Caucasian</v>
          </cell>
          <cell r="BM24">
            <v>39083</v>
          </cell>
          <cell r="BN24">
            <v>270030508182</v>
          </cell>
          <cell r="BQ24">
            <v>85.6</v>
          </cell>
        </row>
        <row r="25">
          <cell r="A25" t="str">
            <v>a1v2J0000027dtOQAQ</v>
          </cell>
          <cell r="B25">
            <v>43111</v>
          </cell>
          <cell r="C25">
            <v>45386</v>
          </cell>
          <cell r="D25" t="str">
            <v>BBBS April '24 Bigs Check-In Form w/ Nicki  I am so excited to be a part of your Match Support Team!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 L_first_name L_last_name Approximately how many times has your match gotten together since your last check-in? (1 month for matches less than 1 year, 3 months for matches more than 1 year) * Once If you did not meet this month/quarter, do you know why? Do you and your Little's parent / guardian have a plan to have regular match outings again? * No plan How long does your match typically spend together each outing? * 1-2 hours 2-3 hours 3-4 hours Other: What activities have you and your Little done together since our last check-in?  * Ice skating How is your "Match Goal" coming along? If you don't have one yet, what is something your Little would like to work on? (Example: Learn how to ride a bike, Practice reading chapter books, Learn how to skateboard, raise your grades...etc) * Progressing. Discussions continue about careers, actions to take to prepare What is something you and your Little have in common? * Sports, activities. What is your relationship to your Little's Parent / Guardian like? How is your communication? Excellent relationship. We communicate much less often now that L_first_name is in High School: more activities and work schedule. Are there any areas within your match experience that you feel like more support, information, or guidance would help you be the best Big you can be? * No additional support We are cleaning up our records, can you please provide your current address:  * 3630 102nd LN N, Brooklyn Park, Mn 55443 Please respond after reading the Safety Reminder below: Involving family members / friends on match activities * I have read &amp; understand the safety reminder. I have questions that I would like to discuss further. Do you have any updates you would like to share? (Life changes, moving, contact information updates, etc) * No changes Mentoring is hard work! How can I support you? * Nothing at this time This form will count as your monthly support check-in. If you would like to schedule a follow-up phone conversation, please use this link to schedule a call : https://bbbsgtc.as.me/NB Hi B_first_name, thank you for filling out the form! I am glad things with L_first_name are going well and look forward to continuing to hear how his plans for college are going! Please let us know if we can support as an organization! You may want to check out our teen hangout with him this month! It will be an escape room: https://www.bigstwincities.org/event/teen-hangout-hello-spring/ Additionally, I hope you will all join us for our Annual Saints Game on 5/2 which you can register for here: https://www.eventbrite.com/e/29th-annual-st-paul-saints-game-picnic-community-based-matches-tickets-856178391617?aff=oddtdtcreator Please feel free to reach out if anything would be helpful!</v>
          </cell>
          <cell r="E25" t="str">
            <v>Active</v>
          </cell>
          <cell r="F25" t="str">
            <v>0032J00003PLeoRQAT</v>
          </cell>
          <cell r="G25" t="str">
            <v>0032J00003Ph14N</v>
          </cell>
          <cell r="H25" t="str">
            <v>Hennepin</v>
          </cell>
          <cell r="J25">
            <v>61</v>
          </cell>
          <cell r="K25" t="str">
            <v>Finance: Banking</v>
          </cell>
          <cell r="M25">
            <v>43102</v>
          </cell>
          <cell r="O25" t="str">
            <v>No Preference</v>
          </cell>
          <cell r="P25" t="str">
            <v>Male</v>
          </cell>
          <cell r="Q25">
            <v>23316</v>
          </cell>
          <cell r="R25" t="str">
            <v>Wells Fargo</v>
          </cell>
          <cell r="S25" t="str">
            <v>General Community</v>
          </cell>
          <cell r="T25" t="str">
            <v>Community</v>
          </cell>
          <cell r="U25" t="str">
            <v>White or Caucasian;</v>
          </cell>
          <cell r="Y25"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25" t="str">
            <v>Male</v>
          </cell>
          <cell r="BL25" t="str">
            <v>Black or African American; White or Caucasian</v>
          </cell>
          <cell r="BM25">
            <v>39083</v>
          </cell>
          <cell r="BN25">
            <v>270030508182</v>
          </cell>
          <cell r="BQ25">
            <v>85.6</v>
          </cell>
        </row>
        <row r="26">
          <cell r="A26" t="str">
            <v>a1v2J0000027dtOQAQ</v>
          </cell>
          <cell r="B26">
            <v>43111</v>
          </cell>
          <cell r="C26">
            <v>45302</v>
          </cell>
          <cell r="D26" t="str">
            <v>MEC connected with the full match to celebrate their 6 year anniversary on 1/11 @ 4:30p PG and Little first joined and Little shared he celebrated his 17 birthday with family at a hibachi restaurant which he really enjoyed as it was a surprise. When Big joined they reminisced about some of their first memories which started with playing checkers at the library. Big made a list of the 30+ things they have done and read them to us and brought up a lot of memories. When asked about challenges Little said time and that "he regrets nothing as many of his favorite memories are with B_first_name" and PG shared that he has a photo of Big in his room. PG shared how proud she is of him and how kind and hardworking he is. PG shared that she had an idea of what kind of a Big she wanted and that included young and Black which was not B_first_name and he far surpassed all of her expectations. Big said he appreciated that although he is introverted it was really easy to talk to Little. MEC asked Little about career interests and he shared he definitely doesn't want to work in an office so previously has thought about being an electrician but now is thinking about zoology and/or environmental technician. They all agreed that as often as they are meeting is working and that Big and Little are directly communicating about their plans. They would like to skate (ice and roller) this year as well as bike and something "more quiet" like going back to the library. Little said his goal this year is to become the best he can at track. MEC shared information on CFR and PG asked to be connected. MEC shared about graduation next year and Big asked what that would look like and MEC explained that this would end contact with the agency but they are welcome to continue their relationship on their own terms. Big was a bit disappointed to loose the Saints Game and tickets. MEC congratulated them and wished them a happy year 7!</v>
          </cell>
          <cell r="E26" t="str">
            <v>Active</v>
          </cell>
          <cell r="F26" t="str">
            <v>0032J00003PLeoRQAT</v>
          </cell>
          <cell r="G26" t="str">
            <v>0032J00003Ph14N</v>
          </cell>
          <cell r="H26" t="str">
            <v>Hennepin</v>
          </cell>
          <cell r="J26">
            <v>61</v>
          </cell>
          <cell r="K26" t="str">
            <v>Finance: Banking</v>
          </cell>
          <cell r="M26">
            <v>43102</v>
          </cell>
          <cell r="O26" t="str">
            <v>No Preference</v>
          </cell>
          <cell r="P26" t="str">
            <v>Male</v>
          </cell>
          <cell r="Q26">
            <v>23316</v>
          </cell>
          <cell r="R26" t="str">
            <v>Wells Fargo</v>
          </cell>
          <cell r="S26" t="str">
            <v>General Community</v>
          </cell>
          <cell r="T26" t="str">
            <v>Community</v>
          </cell>
          <cell r="U26" t="str">
            <v>White or Caucasian;</v>
          </cell>
          <cell r="Y26"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26" t="str">
            <v>Male</v>
          </cell>
          <cell r="BL26" t="str">
            <v>Black or African American; White or Caucasian</v>
          </cell>
          <cell r="BM26">
            <v>39083</v>
          </cell>
          <cell r="BN26">
            <v>270030508182</v>
          </cell>
          <cell r="BQ26">
            <v>85.6</v>
          </cell>
        </row>
        <row r="27">
          <cell r="A27" t="str">
            <v>a1v2J0000027dtOQAQ</v>
          </cell>
          <cell r="B27">
            <v>43111</v>
          </cell>
          <cell r="C27">
            <v>45208</v>
          </cell>
          <cell r="D27" t="str">
            <v>BBBS October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Big's Name * B_first_name B_last_name Little's Name * L_first_name L_last_name Approximately how many times has your match gotten together since your last check-in? (1 month for matches less than 1 year, 3 months for matches more than 1 year).        * Once If you did not meet this month/quarter, do you know why? Do you and your Little's parent / guardian have a plan to have regular match outings again? Busy with school and work How long does your match typically spend together each outing?  * 1-2 hours 2-3 hours 3-4 hours Other: What activities have you and your Little done together recently? Bike ride How is Little's "Match Goal" coming along? What is something you've done recently to support them in accomplishing their goal? * Weighing options for career and coy MatchBook: The Do, Reflect, Apply, Relate model The "Do, Reflect, Apply, Relate" model is a way of getting the most out of your match activities. You can find it in the MatchBook on page 12, with further examples on page 13. *If you need a copy of the MatchBook, please reach out to your Match Engagement Coordinator! Tell me about a time when you reflected on a match activity and applied it to a future activity. How did it impact the future activity? * On our bike ride L_first_name was able to talk about the changes in his life.: Sports and other activities; New friends; and his future goals. How is your Little's school year going so far?  It was just starting the last time we talked. He was excited about the upcoming Cross Country season. Take an opportunity to reflect on a specific safety consideration within your match. Click  Child Safety Policies &amp; Guidelines  for review as needed. Review policies for  pet care / control &amp; firearm safety .  Do you have pets that your Little has interacted with? How has this gone in the past? NA Has your match ever done activities involving firearms? Bo Do you have any updates you would like to share? (Life changes, moving, contact information updates, etc) * No Mentoring is hard work! Is there anything I can do right now (ex: provide resources, talk through a lingering concern) to support you on this journey? * Not at this time. This form will count as your monthly support check-in. If you would like to schedule a follow-up phone conversation, please use this link to schedule a call:  https://bbbsgtc.as.me/NB Hi B_first_name, thank you for filling out the form! I am glad that your last hangout sounds like it had some meaningful conversation despite not being able to see each other as often due to schedules. As a reminder we have our Career Ambassadors program that allows Little's to meet and interview professionals in the careers they are interested in, so if that is something L_first_name is interested in, let me know. We also have a Vikings Tailgate party and a MN United clinic coming up this month that you two may be interested in, you can check those out here: https://www.bigstwincities.org/calendar/, let me know if there is anything you could use</v>
          </cell>
          <cell r="E27" t="str">
            <v>Active</v>
          </cell>
          <cell r="F27" t="str">
            <v>0032J00003PLeoRQAT</v>
          </cell>
          <cell r="G27" t="str">
            <v>0032J00003Ph14N</v>
          </cell>
          <cell r="H27" t="str">
            <v>Hennepin</v>
          </cell>
          <cell r="J27">
            <v>61</v>
          </cell>
          <cell r="K27" t="str">
            <v>Finance: Banking</v>
          </cell>
          <cell r="M27">
            <v>43102</v>
          </cell>
          <cell r="O27" t="str">
            <v>No Preference</v>
          </cell>
          <cell r="P27" t="str">
            <v>Male</v>
          </cell>
          <cell r="Q27">
            <v>23316</v>
          </cell>
          <cell r="R27" t="str">
            <v>Wells Fargo</v>
          </cell>
          <cell r="S27" t="str">
            <v>General Community</v>
          </cell>
          <cell r="T27" t="str">
            <v>Community</v>
          </cell>
          <cell r="U27" t="str">
            <v>White or Caucasian;</v>
          </cell>
          <cell r="Y27"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27" t="str">
            <v>Male</v>
          </cell>
          <cell r="BL27" t="str">
            <v>Black or African American; White or Caucasian</v>
          </cell>
          <cell r="BM27">
            <v>39083</v>
          </cell>
          <cell r="BN27">
            <v>270030508182</v>
          </cell>
          <cell r="BQ27">
            <v>85.6</v>
          </cell>
        </row>
        <row r="28">
          <cell r="A28" t="str">
            <v>a1v2J0000027dtOQAQ</v>
          </cell>
          <cell r="B28">
            <v>43111</v>
          </cell>
          <cell r="C28">
            <v>45119</v>
          </cell>
          <cell r="D28" t="str">
            <v>BBBS July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Big's Name * B_first_name B_last_name Little's Name * L_first_name L_last_name Approximately how many times has your match gotten together since your last check-in? (1 month for matches less than 1 year, 3 months for matches more than 1 year).        * None If you did not meet this month/quarter, do you know why? Do you and your Little's parent / guardian have a plan to have regular match outings again? Busy schedules- no plans in the near future How long does your match typically spend together each outing?  * 1-2 hours 2-3 hours 3-4 hours Other: What activities have you and your Little done together since our last check-in?  * No activity since bowling and career planning How is Little's Youth Goal going? What has Little done recently to make progress towards accomplishing it? If you're not sure, what ideas do you have to support them in accomplishing the goal? * Researching careers that fit his skills and interests. Could use additional help from BBBS on this Learning opportunity! Developmental Relationship Framework - Expanding Possibilities Expanding possibilities for Littles means connecting them with people and places that broaden their world. You are one part of your Little?s network ? you are helping to expand possibilities based on your unique relationship with them as well as your knowledge, resources, and connections. These three everyday actions expand possibilities as Littles grow. Inspire ? Help me to see possibilities for my future. Broaden horizons ? Expand my world by sharing new ideas, experiences, and places with me. Connect?Introducing me to people and resources that can help me grow. What is an example of a way you've expanded possibiliites with your Little? * Took career assessments, practiced driving What is something your Little has shown interest in lately? How can you help them explore this interest? * Mostly sports, working a new job. Talk about how it is going. What he likes/dislikes about new job Take an opportunity to reflect on the policies titled "Involving family members/friends on match activities". Click  Child Safety Policies &amp; Guidelines  for review. Has the match ever included (or plan to include) another child, friend or family member on the match activity? If so, note the important parameters of involving others on match activities. * This has not happened Do you have any updates you would like to share? (Life changes, moving, contact information updates, etc) * L_first_name is busy with work and sports. I now have six grandchildren. Our meetings have been much less frequent. I think that is okay. Do you feel like you have the resources and support you need to be the best mentor you can be? If not, how can I help? * Yes. This form will count as your monthly support check-in. If you would like to schedule a follow-up phone conversation, please use this link to schedule a call  https://bbbsgtc.as.me/NB  :  Hi B_first_name, thank you for filling out the form! I am glad you are both comfortable with the amount you are able to connect despite L_first_name's busy schedule. Congrats on your 6th grandchild! How exciting!! As for his career asperations I know that our College and Future Readiness department is still working on finding professionals to connect with you and L_first_name on his interests, and they should reach out to you as soon as we have more to share. If there are other ways that BBBS can support his job interests please let me know and I would love to support however I can. We have tickets for the Lynx on 7/20 that you two should definitely take advantage of if you are able: https://www.bigstwincities.org/event/bbbs-night-with-the-minnesota-lynx-2/ I hope you are having a great summer! Please let me know if there is anything you could use at this time</v>
          </cell>
          <cell r="E28" t="str">
            <v>Active</v>
          </cell>
          <cell r="F28" t="str">
            <v>0032J00003PLeoRQAT</v>
          </cell>
          <cell r="G28" t="str">
            <v>0032J00003Ph14N</v>
          </cell>
          <cell r="H28" t="str">
            <v>Hennepin</v>
          </cell>
          <cell r="J28">
            <v>61</v>
          </cell>
          <cell r="K28" t="str">
            <v>Finance: Banking</v>
          </cell>
          <cell r="M28">
            <v>43102</v>
          </cell>
          <cell r="O28" t="str">
            <v>No Preference</v>
          </cell>
          <cell r="P28" t="str">
            <v>Male</v>
          </cell>
          <cell r="Q28">
            <v>23316</v>
          </cell>
          <cell r="R28" t="str">
            <v>Wells Fargo</v>
          </cell>
          <cell r="S28" t="str">
            <v>General Community</v>
          </cell>
          <cell r="T28" t="str">
            <v>Community</v>
          </cell>
          <cell r="U28" t="str">
            <v>White or Caucasian;</v>
          </cell>
          <cell r="Y28"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28" t="str">
            <v>Male</v>
          </cell>
          <cell r="BL28" t="str">
            <v>Black or African American; White or Caucasian</v>
          </cell>
          <cell r="BM28">
            <v>39083</v>
          </cell>
          <cell r="BN28">
            <v>270030508182</v>
          </cell>
          <cell r="BQ28">
            <v>85.6</v>
          </cell>
        </row>
        <row r="29">
          <cell r="A29" t="str">
            <v>a1v2J0000027dtOQAQ</v>
          </cell>
          <cell r="B29">
            <v>43111</v>
          </cell>
          <cell r="C29">
            <v>45021</v>
          </cell>
          <cell r="D29" t="str">
            <v>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Required Your name * B_first_name B_last_name Little's name * L_first_name L_last_name Approximately how many times has your match gotten together since your last check-in? (1 month for matches less than 1 year, 3 months for matches more than 1 year) * Two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Practice driving test. Bowling. Job/career quizzes. How is Little's Youth Goal coming along? What has Little done recently to make progress towards accomplishing it? If you're not sure, what ideas do you have to support them in accomplishing the goal? * Signed up for Career Ambassadors. Took career surveys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Expect my best - when we bowl, he has a goal to improve (and beat me) so he is welcome to coaching. How does your Little respond to challenges, mistakes, or setbacks? How do you help them reflect on it and hold them accountable to do their best? * L_first_name accepts challenges and is open to advice on how to improve/do better next time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No Do you have any updates you would like to share? (Life changes, moving, contact information updates, etc) * None at this time. Is there anything else you'd like to connect about? * Nothing at this time. This form will count as your monthly support check-in. If you would like to schedule a follow-up phone conversation, please use this link to schedule a call : https://bbbsgtc.as.me/NB Good morning B_first_name and thank you for filling out the form! I am excited to hear how things progress with the Career Ambassadorship and the driving test! and am very glad to hear you already filled out the career interest survey. I hope to see you both at our Annual Saints Game on 5/10! Please let me know if there is anything else you could use this month.</v>
          </cell>
          <cell r="E29" t="str">
            <v>Active</v>
          </cell>
          <cell r="F29" t="str">
            <v>0032J00003PLeoRQAT</v>
          </cell>
          <cell r="G29" t="str">
            <v>0032J00003Ph14N</v>
          </cell>
          <cell r="H29" t="str">
            <v>Hennepin</v>
          </cell>
          <cell r="J29">
            <v>61</v>
          </cell>
          <cell r="K29" t="str">
            <v>Finance: Banking</v>
          </cell>
          <cell r="M29">
            <v>43102</v>
          </cell>
          <cell r="O29" t="str">
            <v>No Preference</v>
          </cell>
          <cell r="P29" t="str">
            <v>Male</v>
          </cell>
          <cell r="Q29">
            <v>23316</v>
          </cell>
          <cell r="R29" t="str">
            <v>Wells Fargo</v>
          </cell>
          <cell r="S29" t="str">
            <v>General Community</v>
          </cell>
          <cell r="T29" t="str">
            <v>Community</v>
          </cell>
          <cell r="U29" t="str">
            <v>White or Caucasian;</v>
          </cell>
          <cell r="Y29"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29" t="str">
            <v>Male</v>
          </cell>
          <cell r="BL29" t="str">
            <v>Black or African American; White or Caucasian</v>
          </cell>
          <cell r="BM29">
            <v>39083</v>
          </cell>
          <cell r="BN29">
            <v>270030508182</v>
          </cell>
          <cell r="BQ29">
            <v>85.6</v>
          </cell>
        </row>
        <row r="30">
          <cell r="A30" t="str">
            <v>a1v2J0000027dtOQAQ</v>
          </cell>
          <cell r="B30">
            <v>43111</v>
          </cell>
          <cell r="C30">
            <v>44940</v>
          </cell>
          <cell r="D30" t="str">
            <v>MEC connected with full match via Google Meets for their 5 year anniversary meeting. MEC started by introducing herself to the match and congratulating them on 5 years together. Ice breaker: What is your favorite breakfast food and when was the last time you had it? L_first_name said his is a Cinnamon roll which he had for his birthday. MEC said she heard he recently had his birthday and asked what he did to celebrate. Little said he went to a Japanese restaurant with friends where they make the food in front of you. B_first_name said his is a sausage and onion omelet which he had with his wife a few days ago. Jill said she has a protean shake every morning which she loves. MEC said she loves an everything bagel with jalapeno cream cheese. MEC asked what the matches favorite memories were from the year. Little first got up to show us all a framed picture from the first year of the match he has on the wall. Little said he loved the state fair, PG said she loves that B_first_name is willing to do things with L_first_name, like go to the Fair, which she wouldn't want to do. PG said "L_first_name loves B_first_name and always likes getting together". The pair enjoys getting different types of food. MEC asked what challenges the match faced this year and how they overcame it: PG said the communication is strong and B_first_name and her work well together so challenges for her. Little agreed no challenges. Big said things are busier so finding time for one another has been a bit more difficult but they do it! MEC asked what the match is greatful for: Big said he is grateful that Little is a good talker because Big is an introvert and likes that Little can lead things. Little said he is grateful for the bowling tips that Big offers and wants to beat him in bowling. PG said she is grateful that B_first_name is always willing to be there for L_first_name. MEC asked if everyone was ready and able to commit to another full year which they all enthusiastically agreed to. MEC explained that nothing would change with the check ins but asked if the match wanted to change their frequency of meet ups and explained that the policy expects at least once per month. Little said he wants to get together more frequently but aknowledges with his new job and basketball there are obstacles. B_first_name agreed that he wants to get together more. The two talked about getting together tomorrow to practice driving as Little is taking his Drivers Test in 3 weeks. MEC asked what activities the pair would like to try in the new year: Little said he wants to try skiing and Big said he wasn't sure if he was brave enough for that but would think on it. Big said he owes Little a game at Top Golf. MEC asked how everyone would prefer communication from MEC: all agreed texts are best. MEC explained the match goal and asked what they would like to work towards this year? Little said he wants to beat B_first_name in bowling and get his drivers license. PG said figuring out what to do post high school and explore career paths. Little said he wants to be an electrician. MEC shared our CCR department and what it can offer as far as college prep and planning. L_first_name mentioned starting a new job as a cashier at Walmart! MEC recapped all of the above and congratulated them on a strong 5 years together.</v>
          </cell>
          <cell r="E30" t="str">
            <v>Active</v>
          </cell>
          <cell r="F30" t="str">
            <v>0032J00003PLeoRQAT</v>
          </cell>
          <cell r="G30" t="str">
            <v>0032J00003Ph14N</v>
          </cell>
          <cell r="H30" t="str">
            <v>Hennepin</v>
          </cell>
          <cell r="J30">
            <v>61</v>
          </cell>
          <cell r="K30" t="str">
            <v>Finance: Banking</v>
          </cell>
          <cell r="M30">
            <v>43102</v>
          </cell>
          <cell r="O30" t="str">
            <v>No Preference</v>
          </cell>
          <cell r="P30" t="str">
            <v>Male</v>
          </cell>
          <cell r="Q30">
            <v>23316</v>
          </cell>
          <cell r="R30" t="str">
            <v>Wells Fargo</v>
          </cell>
          <cell r="S30" t="str">
            <v>General Community</v>
          </cell>
          <cell r="T30" t="str">
            <v>Community</v>
          </cell>
          <cell r="U30" t="str">
            <v>White or Caucasian;</v>
          </cell>
          <cell r="Y30"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30" t="str">
            <v>Male</v>
          </cell>
          <cell r="BL30" t="str">
            <v>Black or African American; White or Caucasian</v>
          </cell>
          <cell r="BM30">
            <v>39083</v>
          </cell>
          <cell r="BN30">
            <v>270030508182</v>
          </cell>
          <cell r="BQ30">
            <v>85.6</v>
          </cell>
        </row>
        <row r="31">
          <cell r="A31" t="str">
            <v>a1v2J0000027dtOQAQ</v>
          </cell>
          <cell r="B31">
            <v>43111</v>
          </cell>
          <cell r="C31">
            <v>44796</v>
          </cell>
          <cell r="D31" t="str">
            <v>BBBS August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How many times did your match meet last month (virtually or in person)? * 1 2 3 4 5 We didn't meet Approximately how many times has your match gotten together since your last check-in? * Last activity was in March If you did not meet this month/quarter, do you know why? * L_first_name and family had a busy schedule How long does your match typically spend together each outing? * 1-2 hours 2-3 hours 3-4 hours Other: What activities have you and your Little done together since our last check-in? What were some favorite moments from those outings? Any learning opportunities?  * Last activity was a Timberwolves game How is your "Match Goal" coming along? If you don't have one yet, what is something your Little would like to work on? (Example: Learn how to ride a bike, Practice reading chapter books, Learn how to skateboard, raise your grades...etc) * Career options Coaching Corner: Honoring Youth Voice &amp; Building Power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https://www.youtube.com/watch?v=VWfDp1857-w (read) https://www.mentoring.org/wp-content/uploads/2022/01/BBM-Chapter-8.pdf .   *Information adapted from: E Santiago, M Chen "Ch 8 Honoring Youth Voice and Building Power" Becoming a Better Mentor: Strategies to Be There For Young People How do you ensure your Little's voice is heard in your mentoring relationship? * He does most of the talking. What is something your Little has taught you or that you've learned from your Little? * To be willing to talk to and listen to all people Safety Reminder Please respond after reading the Safety Reminder above. * I have read &amp; understand the safety reminder. I have questions that I would like to discuss further. Do you have any updates you would like to share? (Life changes, moving, contact information updates, etc) * No Is there anything else I can do to support your match this month? * No This form will count as your monthly support check-in. Would like to schedule a follow-up phone conversation? * Yes No Today You 12:40 PM Thank you for completing the Google Form, B_first_name!! Appreciate the update on things! Please let me know if anything else comes up with your match! Again, sending over the link to our tickets and events calendar pages https://www.bigstwincities.org/for-bigs/ to stay up to date on the opportunities available! Thank you and again, stay safe!</v>
          </cell>
          <cell r="E31" t="str">
            <v>Active</v>
          </cell>
          <cell r="F31" t="str">
            <v>0032J00003PLeoRQAT</v>
          </cell>
          <cell r="G31" t="str">
            <v>0032J00003Ph14N</v>
          </cell>
          <cell r="H31" t="str">
            <v>Hennepin</v>
          </cell>
          <cell r="J31">
            <v>61</v>
          </cell>
          <cell r="K31" t="str">
            <v>Finance: Banking</v>
          </cell>
          <cell r="M31">
            <v>43102</v>
          </cell>
          <cell r="O31" t="str">
            <v>No Preference</v>
          </cell>
          <cell r="P31" t="str">
            <v>Male</v>
          </cell>
          <cell r="Q31">
            <v>23316</v>
          </cell>
          <cell r="R31" t="str">
            <v>Wells Fargo</v>
          </cell>
          <cell r="S31" t="str">
            <v>General Community</v>
          </cell>
          <cell r="T31" t="str">
            <v>Community</v>
          </cell>
          <cell r="U31" t="str">
            <v>White or Caucasian;</v>
          </cell>
          <cell r="Y31"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31" t="str">
            <v>Male</v>
          </cell>
          <cell r="BL31" t="str">
            <v>Black or African American; White or Caucasian</v>
          </cell>
          <cell r="BM31">
            <v>39083</v>
          </cell>
          <cell r="BN31">
            <v>270030508182</v>
          </cell>
          <cell r="BQ31">
            <v>85.6</v>
          </cell>
        </row>
        <row r="32">
          <cell r="A32" t="str">
            <v>a1v2J0000027dtOQAQ</v>
          </cell>
          <cell r="B32">
            <v>43111</v>
          </cell>
          <cell r="C32">
            <v>44698</v>
          </cell>
          <cell r="D32" t="str">
            <v>BBBS May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Mario Bradshaw Match Engagement Coordinator Big Brothers Big Sisters Twin Cities He/Him/His Cell: phone_number Email: email_address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2 times If you did not meet this month/quarter, do you know why? How long does your match typically spend together each outing? * 1-2 hours 2-3 hours 3-4 hours Other: Please describe the most recent activities your match had and any highs/lows you experienced together. * Attended BBBS sponsored night at Timberwolves game Coaching Corner: Cultural Humility Cultural humility is a lifelong process of self-reflection and learning about how social identity and experiences are shaped by systems of oppression, power, and privilege. Social identity is a person?s sense of who they are based on physical, social, and mental characteristics such as race, gender, class, ability, sexuality, and religion. Cultural humility is important because while all Bigs &amp; Littles have some similar characteristics, there are always differences as well. Cultural humility is not: - Cultural competence. Competence implies that there is an endpoint, that one day you?ll be done with your learning. Cultural humility is an ongoing, lifelong process. - ?Color blindness?. Believing one is ?color blind? creates discomfort around race and racial differences, thus creating an environment where youth may not be able to bring their full identity to the match relationship. Practicing cultural humility involves: - Self-reflection and learning about your own social identities and experiences. You can yourself these questions: 1) How do my social identities shape my worldview and experiences? 2) How have systems of privilege and oppression shaped my own identity and worldview? 3) How do I make space in my mentoring interactions for my mentee to express their own identities? - Learning about your Little?s culture. You can learn by engaging with media like movies, books, and podcasts and spending time in the community where your Little is from and go to places their family visits. You can ask questions ? view your Little as the expert on their own experiences, desires, and interests, and create a safe, trusting space where they can share. Learn more here: https://www.youtube.com/watch?v=up012Mhxr6A  *Information adapted from: B Sanchez "Ch 2 Practicing Cultural Humility " Becoming a Better Mentor: Strategies to Be There For Young People Do you and your Little ever talk about your cultural differences or similarities? Describe your conversations around this topic. * Not too often, especially not recently. What is something that you have recently learned about your Little and their personality, life, culture, or perspective? * He has some very lofty career aspirations especially sports related. Safety Reminder Please respond after reading the Safety Reminder above. * I understand these rules &amp; guidelines. I have questions that I would like to discuss further. Do you have any updates you would like to share? (Life changes, moving, contact information updates, etc) * No updates. How else can I support your match? * Nothing currently. This form will count as your monthly support check-in. If you would like to schedule a follow-up phone conversation please check the box below. * Yes No You 6:16 PM Thanks for completing the Google Form!! Appreciate the update on things! Please let me know if anything else comes up with your match. Also sending over the link to our tickets and events calendar pages, keep taking advantage of cool things in the coming months! https://www.bigstwincities.org/for-bigs/. Thank you and stay safe!</v>
          </cell>
          <cell r="E32" t="str">
            <v>Active</v>
          </cell>
          <cell r="F32" t="str">
            <v>0032J00003PLeoRQAT</v>
          </cell>
          <cell r="G32" t="str">
            <v>0032J00003Ph14N</v>
          </cell>
          <cell r="H32" t="str">
            <v>Hennepin</v>
          </cell>
          <cell r="J32">
            <v>61</v>
          </cell>
          <cell r="K32" t="str">
            <v>Finance: Banking</v>
          </cell>
          <cell r="M32">
            <v>43102</v>
          </cell>
          <cell r="O32" t="str">
            <v>No Preference</v>
          </cell>
          <cell r="P32" t="str">
            <v>Male</v>
          </cell>
          <cell r="Q32">
            <v>23316</v>
          </cell>
          <cell r="R32" t="str">
            <v>Wells Fargo</v>
          </cell>
          <cell r="S32" t="str">
            <v>General Community</v>
          </cell>
          <cell r="T32" t="str">
            <v>Community</v>
          </cell>
          <cell r="U32" t="str">
            <v>White or Caucasian;</v>
          </cell>
          <cell r="Y32"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32" t="str">
            <v>Male</v>
          </cell>
          <cell r="BL32" t="str">
            <v>Black or African American; White or Caucasian</v>
          </cell>
          <cell r="BM32">
            <v>39083</v>
          </cell>
          <cell r="BN32">
            <v>270030508182</v>
          </cell>
          <cell r="BQ32">
            <v>85.6</v>
          </cell>
        </row>
        <row r="33">
          <cell r="A33" t="str">
            <v>a1v2J0000027dtOQAQ</v>
          </cell>
          <cell r="B33">
            <v>43111</v>
          </cell>
          <cell r="C33">
            <v>44609</v>
          </cell>
          <cell r="D33" t="str">
            <v>MEC has call with BB to check in on match. MEC greeted BB and asked how things are going? BB stated that all is well and asked MEC the same. MEC stated that things are well and staying safe. BB expressed same for their family and friends. MEC asked how things are going with match? BB expressed that things are going well. LB is very busy with school and sports (basketball). Match is in constant communication. BB stated his strategy has been to reach out weekly and see what schedule is like and let LB decide if they could make it work. BB is going to LB's basketball game this week and will catch up then. MEC praised BB and LB line of communication and making things work through that communication piece. BB stated he is excited to catch a game and see LB. BB is good with how things are going and all are on the same page with scheduling. MEC was happy to hear all is well. MEC made comment that match is comfortable being out in the community with activity choices? BB stated that all parties are good with being in person. MEC informed BB of BBBS covid protocol and where to find it. BB thnaked MEC for the info. MEC also let BB know to look out for the upcoming BBBS events/tickets. Maybe catch a Wolves game to if that works for LB. BB stated that was a good idea. MEC let BB know to reach out if anything comes up or if they have any questions about process. BB stated they would. MEC thanked BB for the check in and hoped they have fun at LB's game. BB thanked MEC and stated they would let MEC know how it went next check in. MEC stated they would love that. Both exchanged goodbyes.</v>
          </cell>
          <cell r="E33" t="str">
            <v>Active</v>
          </cell>
          <cell r="F33" t="str">
            <v>0032J00003PLeoRQAT</v>
          </cell>
          <cell r="G33" t="str">
            <v>0032J00003Ph14N</v>
          </cell>
          <cell r="H33" t="str">
            <v>Hennepin</v>
          </cell>
          <cell r="J33">
            <v>61</v>
          </cell>
          <cell r="K33" t="str">
            <v>Finance: Banking</v>
          </cell>
          <cell r="M33">
            <v>43102</v>
          </cell>
          <cell r="O33" t="str">
            <v>No Preference</v>
          </cell>
          <cell r="P33" t="str">
            <v>Male</v>
          </cell>
          <cell r="Q33">
            <v>23316</v>
          </cell>
          <cell r="R33" t="str">
            <v>Wells Fargo</v>
          </cell>
          <cell r="S33" t="str">
            <v>General Community</v>
          </cell>
          <cell r="T33" t="str">
            <v>Community</v>
          </cell>
          <cell r="U33" t="str">
            <v>White or Caucasian;</v>
          </cell>
          <cell r="Y33"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33" t="str">
            <v>Male</v>
          </cell>
          <cell r="BL33" t="str">
            <v>Black or African American; White or Caucasian</v>
          </cell>
          <cell r="BM33">
            <v>39083</v>
          </cell>
          <cell r="BN33">
            <v>270030508182</v>
          </cell>
          <cell r="BQ33">
            <v>85.6</v>
          </cell>
        </row>
        <row r="34">
          <cell r="A34" t="str">
            <v>a1v2J0000027dtOQAQ</v>
          </cell>
          <cell r="B34">
            <v>43111</v>
          </cell>
          <cell r="C34">
            <v>44508</v>
          </cell>
          <cell r="D34" t="str">
            <v>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B_last_name Are there any updates or upcoming changes or transitions for you that you think are important to share?  * No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1 As your best guess, how many hours did the match spend together last month (including time spent connecting via a device / technology?). If you haven't met, do you know why?  * 4 hours Please describe the most recent activity the match had by sharing the highs / lows / overall feelings of the outing. I brought L_first_name to my house and we watch a movie. We had quality/catch up before and after the movie and in the car.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No example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try to keep an open mind about L_first_name?s family life and the differences between uss Is there any way I can help make the match more successful?  * Feedback from L_first_name and his mom about the frequency of activities in relation to his busy school schedule. This form will count as your monthly support check-in. Would you like a follow-up phone call?  * Yes No You Nov 4, 12:00 PM Hey B_first_name, it's Mario from BBBS. I?m contacting you because we are already due for a check in on your match. Please contact me to set up a time for a brief chat. I'm also sending you the link to the Google forms to check in that way if it is easier for you! Thank you! Big Check-in: https://docs.google.com/forms/d/e/1FAIpQLScFF7Fk6diRtE-lKRgSSnCTi2EAOWN7inOP1Ajg7uDOBnNEpg/viewform And if you feel comfortable with this, could you let Jill and L_first_name know that I'm am trying to connect with them for a check in? We are getting late and to keep your match in good standing, I need to check in with all parties involved. If it gets too late, I'll have to start talking about closure status, which is something I definitely don't want to do! It would be greatly appreciated! Thanks, B_first_name! B_first_name B_last_name (BB) Nov 4, 12:07 PM Have you reached out to Jill and not gotten a response? You Nov 4, 12:08 PM Thanks for the response, B_first_name. Yes, for the last couple of months, I haven't been able to get ahold of them. B_first_name B_last_name (BB) Nov 4, 12:13 PM I will ask Jill. I know they have been very busy. You Nov 4, 12:14 PM Thank you very much, that would be super helpful! Today You 2:19 PM Thank you for completing the Google form for check in! Please let me know if you have any questions/concerns or assistance with resources. And once I get a hold of Jill and L_first_name, I'll let you know if there is any feedback from that conversation! Appreciate your help, B_first_name.</v>
          </cell>
          <cell r="E34" t="str">
            <v>Active</v>
          </cell>
          <cell r="F34" t="str">
            <v>0032J00003PLeoRQAT</v>
          </cell>
          <cell r="G34" t="str">
            <v>0032J00003Ph14N</v>
          </cell>
          <cell r="H34" t="str">
            <v>Hennepin</v>
          </cell>
          <cell r="J34">
            <v>61</v>
          </cell>
          <cell r="K34" t="str">
            <v>Finance: Banking</v>
          </cell>
          <cell r="M34">
            <v>43102</v>
          </cell>
          <cell r="O34" t="str">
            <v>No Preference</v>
          </cell>
          <cell r="P34" t="str">
            <v>Male</v>
          </cell>
          <cell r="Q34">
            <v>23316</v>
          </cell>
          <cell r="R34" t="str">
            <v>Wells Fargo</v>
          </cell>
          <cell r="S34" t="str">
            <v>General Community</v>
          </cell>
          <cell r="T34" t="str">
            <v>Community</v>
          </cell>
          <cell r="U34" t="str">
            <v>White or Caucasian;</v>
          </cell>
          <cell r="Y34"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34" t="str">
            <v>Male</v>
          </cell>
          <cell r="BL34" t="str">
            <v>Black or African American; White or Caucasian</v>
          </cell>
          <cell r="BM34">
            <v>39083</v>
          </cell>
          <cell r="BN34">
            <v>270030508182</v>
          </cell>
          <cell r="BQ34">
            <v>85.6</v>
          </cell>
        </row>
        <row r="35">
          <cell r="A35" t="str">
            <v>a1v2J0000027dtOQAQ</v>
          </cell>
          <cell r="B35">
            <v>43111</v>
          </cell>
          <cell r="C35">
            <v>44411</v>
          </cell>
          <cell r="D35" t="str">
            <v>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https://www.bigstwincities.org/calendar/ Mario Bradshaw Program Coordinator phone_number email_address * Required Email  * First and Last Name  * B_first_name B_last_name Have you been meeting up online, over the phone, or in person? If you have not been able to meet up; what is the reason for this?  * In person How many times have you met up with your little since your last check in (either virtually or in person)?  * One How long do you spend with your Little when you meet up (virtually or in person)?  * 3 hours What activities have you been doing with your Little?  * Bowling What are some of the things you and your Little talk about? Life changes with you or your Little, things going on in the world, plans for your match moving forward, interests/hobbies, etc.  * School, activities, vacation and summer plans How do you show you care about your Little? How do you feel cared for by your Little/how do you thing your Little shows they care about your relationship?  * Engaged conversations Has your little expressed their plans for life after high school? If not, is there anything you Little is passionate about or enjoys doing?  * Yes. Law, Real Estate, Pro Sports Have there been any issues with the match on your end or involving Little/Parent Guardian that I should know about? Is there anything else I can do to help support you and the match?  * Not a lot of contact. Infrequent this touch bases via text or email.</v>
          </cell>
          <cell r="E35" t="str">
            <v>Active</v>
          </cell>
          <cell r="F35" t="str">
            <v>0032J00003PLeoRQAT</v>
          </cell>
          <cell r="G35" t="str">
            <v>0032J00003Ph14N</v>
          </cell>
          <cell r="H35" t="str">
            <v>Hennepin</v>
          </cell>
          <cell r="J35">
            <v>61</v>
          </cell>
          <cell r="K35" t="str">
            <v>Finance: Banking</v>
          </cell>
          <cell r="M35">
            <v>43102</v>
          </cell>
          <cell r="O35" t="str">
            <v>No Preference</v>
          </cell>
          <cell r="P35" t="str">
            <v>Male</v>
          </cell>
          <cell r="Q35">
            <v>23316</v>
          </cell>
          <cell r="R35" t="str">
            <v>Wells Fargo</v>
          </cell>
          <cell r="S35" t="str">
            <v>General Community</v>
          </cell>
          <cell r="T35" t="str">
            <v>Community</v>
          </cell>
          <cell r="U35" t="str">
            <v>White or Caucasian;</v>
          </cell>
          <cell r="Y35"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35" t="str">
            <v>Male</v>
          </cell>
          <cell r="BL35" t="str">
            <v>Black or African American; White or Caucasian</v>
          </cell>
          <cell r="BM35">
            <v>39083</v>
          </cell>
          <cell r="BN35">
            <v>270030508182</v>
          </cell>
          <cell r="BQ35">
            <v>85.6</v>
          </cell>
        </row>
        <row r="36">
          <cell r="A36" t="str">
            <v>a1v2J0000027dtOQAQ</v>
          </cell>
          <cell r="B36">
            <v>43111</v>
          </cell>
          <cell r="C36">
            <v>44335</v>
          </cell>
          <cell r="D36" t="str">
            <v>BBBS May 2021 Check In Form Please provide your full name and any recent updates to your contact info (phone #, email, street address)  * B_first_name B_last_name How many times have you met up (virtually or in-person) with your Little since your last check in? Give your best estimate  * Once in person and twice via text How many hours do you typically spend together?  * 2 hours What activities (virtual or in-person) have you been doing? Please describe any recent highlights or challenges?  * Bowling/Dinner Please describe how your conversations have been going recently. What do you usually talk about? Have there been any significant changes in your lives?  * Great conversations. Mostly catching up on events in our lives since we last met. How have you provided support to your Little and their family as they've adapted to this extraordinary school year?  * Very little in this area except to show interest in how his school home life has been going. Do you have any plans for this summer that may affect the match (travel, camps, sports, summer school, etc.)? Have you communicated this to your Little and their Parent / Guardian?  * No plans currently. What activities are you most excited to do with your Little this summer?  * New BBBS sponsored events like career related activities. Has your Little recently expressed what they're considering when it comes to life after high school? Is there anything they are passionate about?  * Yes. Real Estate, Law, Pro Sports. He is very active in theater How can you help your Little learn more about college and careers? Do you need additional support from your coordinator with this?  * I will gauge his interest in career events and continue to speak with him about career goals. Have you recently discussed your plan or specific rules for safe in person meetups with your Little's parent/guardian? If so, please give me an update:  * No Have you had any issues with communication, planning activities, or budgeting with your Little and their Parent/Guardian? If so, please describe.  * No Mentoring can be challenging! Is there any way I can help make your match more successful? This form will count as your official support check-in. If you would like to schedule a follow-up phone conversation, please use this link to schedule a call : ( https://bbbsgtc.as.me/EB )  * Not at this time</v>
          </cell>
          <cell r="E36" t="str">
            <v>Active</v>
          </cell>
          <cell r="F36" t="str">
            <v>0032J00003PLeoRQAT</v>
          </cell>
          <cell r="G36" t="str">
            <v>0032J00003Ph14N</v>
          </cell>
          <cell r="H36" t="str">
            <v>Hennepin</v>
          </cell>
          <cell r="J36">
            <v>61</v>
          </cell>
          <cell r="K36" t="str">
            <v>Finance: Banking</v>
          </cell>
          <cell r="M36">
            <v>43102</v>
          </cell>
          <cell r="O36" t="str">
            <v>No Preference</v>
          </cell>
          <cell r="P36" t="str">
            <v>Male</v>
          </cell>
          <cell r="Q36">
            <v>23316</v>
          </cell>
          <cell r="R36" t="str">
            <v>Wells Fargo</v>
          </cell>
          <cell r="S36" t="str">
            <v>General Community</v>
          </cell>
          <cell r="T36" t="str">
            <v>Community</v>
          </cell>
          <cell r="U36" t="str">
            <v>White or Caucasian;</v>
          </cell>
          <cell r="Y36"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36" t="str">
            <v>Male</v>
          </cell>
          <cell r="BL36" t="str">
            <v>Black or African American; White or Caucasian</v>
          </cell>
          <cell r="BM36">
            <v>39083</v>
          </cell>
          <cell r="BN36">
            <v>270030508182</v>
          </cell>
          <cell r="BQ36">
            <v>85.6</v>
          </cell>
        </row>
        <row r="37">
          <cell r="A37" t="str">
            <v>a1v2J0000027dtOQAQ</v>
          </cell>
          <cell r="B37">
            <v>43111</v>
          </cell>
          <cell r="C37">
            <v>44098</v>
          </cell>
          <cell r="D37" t="str">
            <v>BBBS September 2020 Check In Form Please provide your full name and any recent updates to your contact info (phone #, email, street address)  * B_first_name B_last_name How many times have you met up (virtually or in-person) with your Little since your last check in? Give your best estimate  * 3 How many hours do you typically spend together?  * 3 REFLECT &amp; SHARE: Please provide a brief update of your match. What activities (virtual or in-person) have you been doing? Please describe any recent highlights or challenges?  * In person we went for a bike ride near L_first_name?s home. Virtually we texted to get an update on how he is doing and what plans are for school. Whether you've been meeting up with your Little in person or virtually, please describe how your conversations have been going recently. What do you usually talk about? Has there been any significant change in their life, interests, or personality?  * We talk about his friendships and relationships with other students and what he has been doing to stay active. No significant changes. What sort of activities have you been doing this summer (virtually or in person)? Have any ideas been particularly successful or challenging? Have you had a chance to try anything new or interesting?  * Our interactions have been limited to one meeting and texting. No new activities. How will your Little be attending school this year? How do you plan to support them with adapting to changes in their educational environment? L_first_name notes that his school is doing a hybrid model and he?s not quite sure what his schedule will be like. As before, I will take tome to listen to his concerns and how he is doing in school and be flexible with his schedule. Have you had a chance to discuss a plan for safe in person meetups (now or in the future) with your Little's parent/guardian? If so, please describe the plan. I have not. Have you had any issues with communication, planning activities, or budgeting with your Little and their Parent/Guardian? If so, please describe.  * No issues as I am flexible to meet as L_first_name?s schedule allows. Safety Policy Review:  Involving others on match activities Mentoring can be hard work! Is there any way I can help make your match more successful? This form will count as your monthly support check-in. If you would like to schedule a follow-up phone conversation, please use this link to schedule a call : ( https://bbbsgtc.as.me/EB ) No needs at this time.</v>
          </cell>
          <cell r="E37" t="str">
            <v>Active</v>
          </cell>
          <cell r="F37" t="str">
            <v>0032J00003PLeoRQAT</v>
          </cell>
          <cell r="G37" t="str">
            <v>0032J00003Ph14N</v>
          </cell>
          <cell r="H37" t="str">
            <v>Hennepin</v>
          </cell>
          <cell r="J37">
            <v>61</v>
          </cell>
          <cell r="K37" t="str">
            <v>Finance: Banking</v>
          </cell>
          <cell r="M37">
            <v>43102</v>
          </cell>
          <cell r="O37" t="str">
            <v>No Preference</v>
          </cell>
          <cell r="P37" t="str">
            <v>Male</v>
          </cell>
          <cell r="Q37">
            <v>23316</v>
          </cell>
          <cell r="R37" t="str">
            <v>Wells Fargo</v>
          </cell>
          <cell r="S37" t="str">
            <v>General Community</v>
          </cell>
          <cell r="T37" t="str">
            <v>Community</v>
          </cell>
          <cell r="U37" t="str">
            <v>White or Caucasian;</v>
          </cell>
          <cell r="Y37" t="str">
            <v>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v>
          </cell>
          <cell r="BK37" t="str">
            <v>Male</v>
          </cell>
          <cell r="BL37" t="str">
            <v>Black or African American; White or Caucasian</v>
          </cell>
          <cell r="BM37">
            <v>39083</v>
          </cell>
          <cell r="BN37">
            <v>270030508182</v>
          </cell>
          <cell r="BQ37">
            <v>85.6</v>
          </cell>
        </row>
        <row r="38">
          <cell r="A38" t="str">
            <v>a1v2J0000028pRvQAI</v>
          </cell>
          <cell r="B38">
            <v>42797</v>
          </cell>
          <cell r="C38">
            <v>43069</v>
          </cell>
          <cell r="D38" t="str">
            <v>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Closing with bs via email: Hi Mai, Thanks so much for sending this over. And thank you for arranging the match closing; I know it's not ideal. Please see my answers below -- What were the highlights of your match? Meeting a smart, funny young person! Any regrets or disappointments in your match? No! What are your expectations for contact after the match is closed? Will you continue contact through phone, email, etc? As a reminder, once your match is closed all future contact is no longer under the supervision of Big Brothers Big Sisters. I don't know. I am open to further contact, though. Do you have any concerns with your Little participating in a new match? No! Overall, I had a good experience with my Little and enjoyed being a Big. The only piece of feedback that I really have for the experience is that I wish the Bigs would have received a bit more training. For example, how to deal with adolescents and the different situations they are in with their friends, how to form relationships with the Little's family, etc. Thanks again Mai! With warm regards, B_first_name Msc emailed the following back: Hi B_first_name, Thanks for completing the closing and for the feedback! I will contact L_first_name and Germaine to do closing as well. I wish you well as you begin your motherhood journey. Thanks for all that you have done for L_first_name and the BBBS program.</v>
          </cell>
          <cell r="E38" t="str">
            <v>Closed</v>
          </cell>
          <cell r="F38" t="str">
            <v>0032J00003PLe29QAD</v>
          </cell>
          <cell r="G38" t="str">
            <v>0032J00003PhDOI</v>
          </cell>
          <cell r="H38" t="str">
            <v>Hennepin</v>
          </cell>
          <cell r="J38">
            <v>40</v>
          </cell>
          <cell r="K38" t="str">
            <v>Unemployed</v>
          </cell>
          <cell r="N38" t="str">
            <v>Masters Degree</v>
          </cell>
          <cell r="O38" t="str">
            <v>No Preference</v>
          </cell>
          <cell r="P38" t="str">
            <v>Female</v>
          </cell>
          <cell r="Q38">
            <v>31079</v>
          </cell>
          <cell r="R38" t="str">
            <v>On a writing sabbatical</v>
          </cell>
          <cell r="S38" t="str">
            <v>General Community</v>
          </cell>
          <cell r="T38" t="str">
            <v>Community</v>
          </cell>
          <cell r="U38" t="str">
            <v>Black or African American;White or Caucasian;</v>
          </cell>
          <cell r="V38" t="str">
            <v>Volunteer: Health</v>
          </cell>
          <cell r="X38">
            <v>43070</v>
          </cell>
          <cell r="BK38" t="str">
            <v>Female</v>
          </cell>
          <cell r="BL38" t="str">
            <v>Black or African American</v>
          </cell>
          <cell r="BM38">
            <v>37987</v>
          </cell>
          <cell r="BN38">
            <v>270530268165</v>
          </cell>
          <cell r="BO38">
            <v>270530212004</v>
          </cell>
          <cell r="BQ38">
            <v>9</v>
          </cell>
        </row>
        <row r="39">
          <cell r="A39" t="str">
            <v>a1v2J0000028pRvQAI</v>
          </cell>
          <cell r="B39">
            <v>42797</v>
          </cell>
          <cell r="C39">
            <v>43039</v>
          </cell>
          <cell r="D39" t="str">
            <v>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Comm log for details on Email communication with Bs. Match will be closing, as bs has decided not to continue with program due to being in 2nd trimester with child. She has already notified both mom and Ls about this. Msc had to check with her supervisor to confirm the situation, since match is under a year. Msc sent Bs closing questions. No concerns on match.</v>
          </cell>
          <cell r="E39" t="str">
            <v>Closed</v>
          </cell>
          <cell r="F39" t="str">
            <v>0032J00003PLe29QAD</v>
          </cell>
          <cell r="G39" t="str">
            <v>0032J00003PhDOI</v>
          </cell>
          <cell r="H39" t="str">
            <v>Hennepin</v>
          </cell>
          <cell r="J39">
            <v>40</v>
          </cell>
          <cell r="K39" t="str">
            <v>Unemployed</v>
          </cell>
          <cell r="N39" t="str">
            <v>Masters Degree</v>
          </cell>
          <cell r="O39" t="str">
            <v>No Preference</v>
          </cell>
          <cell r="P39" t="str">
            <v>Female</v>
          </cell>
          <cell r="Q39">
            <v>31079</v>
          </cell>
          <cell r="R39" t="str">
            <v>On a writing sabbatical</v>
          </cell>
          <cell r="S39" t="str">
            <v>General Community</v>
          </cell>
          <cell r="T39" t="str">
            <v>Community</v>
          </cell>
          <cell r="U39" t="str">
            <v>Black or African American;White or Caucasian;</v>
          </cell>
          <cell r="V39" t="str">
            <v>Volunteer: Health</v>
          </cell>
          <cell r="X39">
            <v>43070</v>
          </cell>
          <cell r="BK39" t="str">
            <v>Female</v>
          </cell>
          <cell r="BL39" t="str">
            <v>Black or African American</v>
          </cell>
          <cell r="BM39">
            <v>37987</v>
          </cell>
          <cell r="BN39">
            <v>270530268165</v>
          </cell>
          <cell r="BO39">
            <v>270530212004</v>
          </cell>
          <cell r="BQ39">
            <v>9</v>
          </cell>
        </row>
        <row r="40">
          <cell r="A40" t="str">
            <v>a1v2J0000028pRvQAI</v>
          </cell>
          <cell r="B40">
            <v>42797</v>
          </cell>
          <cell r="C40">
            <v>43070</v>
          </cell>
          <cell r="D40" t="str">
            <v>Question: Activities:           Answer: Match Closed.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Closed.</v>
          </cell>
          <cell r="E40" t="str">
            <v>Closed</v>
          </cell>
          <cell r="F40" t="str">
            <v>0032J00003PLe29QAD</v>
          </cell>
          <cell r="G40" t="str">
            <v>0032J00003PhDOI</v>
          </cell>
          <cell r="H40" t="str">
            <v>Hennepin</v>
          </cell>
          <cell r="J40">
            <v>40</v>
          </cell>
          <cell r="K40" t="str">
            <v>Unemployed</v>
          </cell>
          <cell r="N40" t="str">
            <v>Masters Degree</v>
          </cell>
          <cell r="O40" t="str">
            <v>No Preference</v>
          </cell>
          <cell r="P40" t="str">
            <v>Female</v>
          </cell>
          <cell r="Q40">
            <v>31079</v>
          </cell>
          <cell r="R40" t="str">
            <v>On a writing sabbatical</v>
          </cell>
          <cell r="S40" t="str">
            <v>General Community</v>
          </cell>
          <cell r="T40" t="str">
            <v>Community</v>
          </cell>
          <cell r="U40" t="str">
            <v>Black or African American;White or Caucasian;</v>
          </cell>
          <cell r="V40" t="str">
            <v>Volunteer: Health</v>
          </cell>
          <cell r="X40">
            <v>43070</v>
          </cell>
          <cell r="BK40" t="str">
            <v>Female</v>
          </cell>
          <cell r="BL40" t="str">
            <v>Black or African American</v>
          </cell>
          <cell r="BM40">
            <v>37987</v>
          </cell>
          <cell r="BN40">
            <v>270530268165</v>
          </cell>
          <cell r="BO40">
            <v>270530212004</v>
          </cell>
          <cell r="BQ40">
            <v>9</v>
          </cell>
        </row>
        <row r="41">
          <cell r="A41" t="str">
            <v>a1v2J0000028pRvQAI</v>
          </cell>
          <cell r="B41">
            <v>42797</v>
          </cell>
          <cell r="C41">
            <v>42884</v>
          </cell>
          <cell r="D41" t="str">
            <v>Question: Activities:           Answer: Msc asked about activities. Bs said this month has been busy for her; therefore, they have not gotten together. They plan to go to the Nickeleon Universe this weekend. Question: Child Safety:           Answer: No child safety concerns reported. Question: Child Development:           Answer: N/A Question: Child/Volunteer Relationship development:           Answer: Msc asked about match relationship. Bs said it is good. Msc checked on match plan goals: find opportunities to be successful- bowling activity where they both started out "rocky" but later learned how to bowl; keep trying when challenged- they didn't give up on the bowling experience; learn about college &amp; careers- Ls has shared a couple of things she might like to do in the future when she is older, but nothing solid yet; speak up for what?s important- match talks about what they like to do and what they value as important to them; volunteer/help others- in progress, msc suggested some volunteer ideas; care for neighborhood and school- bs reported that Ls cares about her family, likes her friends, and enjoys school; learn a new artistic skill- in progress; explore a new form of art- in progress, msc suggested some ideas; explore a new cultural experience- they are both are learning about each other's culture. Msc also suggested some bbbe world culture events/activities. Question: Relationship with BBBS:           Answer: Msc completed Match plan goals check in and also suggested some activity ideas. Question: Parent/Volunteer Concerns:           Answer: Bs does not have concerns. Question: Other Comments-List progress/activities in school and in JJ System:           Answer: n/a Question: MSS Notes:           Answer: Match is doing good. They didn't see each other much this month, but do plan to meet soon. They are still working on match plan goals. no concerns. continue call.</v>
          </cell>
          <cell r="E41" t="str">
            <v>Closed</v>
          </cell>
          <cell r="F41" t="str">
            <v>0032J00003PLe29QAD</v>
          </cell>
          <cell r="G41" t="str">
            <v>0032J00003PhDOI</v>
          </cell>
          <cell r="H41" t="str">
            <v>Hennepin</v>
          </cell>
          <cell r="J41">
            <v>40</v>
          </cell>
          <cell r="K41" t="str">
            <v>Unemployed</v>
          </cell>
          <cell r="N41" t="str">
            <v>Masters Degree</v>
          </cell>
          <cell r="O41" t="str">
            <v>No Preference</v>
          </cell>
          <cell r="P41" t="str">
            <v>Female</v>
          </cell>
          <cell r="Q41">
            <v>31079</v>
          </cell>
          <cell r="R41" t="str">
            <v>On a writing sabbatical</v>
          </cell>
          <cell r="S41" t="str">
            <v>General Community</v>
          </cell>
          <cell r="T41" t="str">
            <v>Community</v>
          </cell>
          <cell r="U41" t="str">
            <v>Black or African American;White or Caucasian;</v>
          </cell>
          <cell r="V41" t="str">
            <v>Volunteer: Health</v>
          </cell>
          <cell r="X41">
            <v>43070</v>
          </cell>
          <cell r="BK41" t="str">
            <v>Female</v>
          </cell>
          <cell r="BL41" t="str">
            <v>Black or African American</v>
          </cell>
          <cell r="BM41">
            <v>37987</v>
          </cell>
          <cell r="BN41">
            <v>270530268165</v>
          </cell>
          <cell r="BO41">
            <v>270530212004</v>
          </cell>
          <cell r="BQ41">
            <v>9</v>
          </cell>
        </row>
        <row r="42">
          <cell r="A42" t="str">
            <v>a1v2J0000028pRvQAI</v>
          </cell>
          <cell r="B42">
            <v>42797</v>
          </cell>
          <cell r="C42">
            <v>42855</v>
          </cell>
          <cell r="D42" t="str">
            <v>Question: Activities:           Answer: Msc asked about activities. Bs said they went to the movies and to the library. Question: Child Safety:           Answer: Msc asked if activities are done 1:1? Bs said yes. Question: Child Development:           Answer: Msc asked if Ls is more comfortable talking to adults or peers? Bs said peers because she can relate to them more. Question: Child/Volunteer Relationship development:           Answer: Msc asked about match plan goals. Bs said it is going well. They meet every Saturday for outings. She said the match relationship is meeting her expectations. Msc asked how is the communication between her and mom. She said it is good, they usually say hi during pick up and drop off. Question: Relationship with BBBS:           Answer: Msc asked if any support/activity is needed for match. Bs said no. Question: Parent/Volunteer Concerns:           Answer: No concerns reported. Question: Other Comments-List progress/activities in school and in JJ System:           Answer: None Question: MSS Notes:           Answer: Match is doing well. They are meeting for outings. no concerns. continue call.</v>
          </cell>
          <cell r="E42" t="str">
            <v>Closed</v>
          </cell>
          <cell r="F42" t="str">
            <v>0032J00003PLe29QAD</v>
          </cell>
          <cell r="G42" t="str">
            <v>0032J00003PhDOI</v>
          </cell>
          <cell r="H42" t="str">
            <v>Hennepin</v>
          </cell>
          <cell r="J42">
            <v>40</v>
          </cell>
          <cell r="K42" t="str">
            <v>Unemployed</v>
          </cell>
          <cell r="N42" t="str">
            <v>Masters Degree</v>
          </cell>
          <cell r="O42" t="str">
            <v>No Preference</v>
          </cell>
          <cell r="P42" t="str">
            <v>Female</v>
          </cell>
          <cell r="Q42">
            <v>31079</v>
          </cell>
          <cell r="R42" t="str">
            <v>On a writing sabbatical</v>
          </cell>
          <cell r="S42" t="str">
            <v>General Community</v>
          </cell>
          <cell r="T42" t="str">
            <v>Community</v>
          </cell>
          <cell r="U42" t="str">
            <v>Black or African American;White or Caucasian;</v>
          </cell>
          <cell r="V42" t="str">
            <v>Volunteer: Health</v>
          </cell>
          <cell r="X42">
            <v>43070</v>
          </cell>
          <cell r="BK42" t="str">
            <v>Female</v>
          </cell>
          <cell r="BL42" t="str">
            <v>Black or African American</v>
          </cell>
          <cell r="BM42">
            <v>37987</v>
          </cell>
          <cell r="BN42">
            <v>270530268165</v>
          </cell>
          <cell r="BO42">
            <v>270530212004</v>
          </cell>
          <cell r="BQ42">
            <v>9</v>
          </cell>
        </row>
        <row r="43">
          <cell r="A43" t="str">
            <v>a1v2J0000028pRvQAI</v>
          </cell>
          <cell r="B43">
            <v>42797</v>
          </cell>
          <cell r="C43">
            <v>42916</v>
          </cell>
          <cell r="D43" t="str">
            <v>Question: Activities:           Answer: Msc asked about activities. Bs said they went to MIA. They plan to go to the sculpture garden for next outing. Question: Child Safety:           Answer: No child safety concerns reported. Question: Child Development:           Answer: n/a Question: Child/Volunteer Relationship development:           Answer: Msc asked about match relationship. Bs said it is going well. Msc asked if match has summer plans. Bs said they would like to do more outdoor activities. They also are thinking going to the Twins game. Question: Relationship with BBBS:           Answer: Msc talked to bs about the bbbs ticket center for twins tickets. Msc also talked to bs about bbbs picnic. Msc completed sor survey with bs. Question: Parent/Volunteer Concerns:           Answer: Bs does not have concerns. Question: Other Comments-List progress/activities in school and in JJ System:           Answer: n/a Question: MSS Notes:           Answer: Match is doing good. Msc talked to bs about some bbbs events/resource. no concerns. continue call.</v>
          </cell>
          <cell r="E43" t="str">
            <v>Closed</v>
          </cell>
          <cell r="F43" t="str">
            <v>0032J00003PLe29QAD</v>
          </cell>
          <cell r="G43" t="str">
            <v>0032J00003PhDOI</v>
          </cell>
          <cell r="H43" t="str">
            <v>Hennepin</v>
          </cell>
          <cell r="J43">
            <v>40</v>
          </cell>
          <cell r="K43" t="str">
            <v>Unemployed</v>
          </cell>
          <cell r="N43" t="str">
            <v>Masters Degree</v>
          </cell>
          <cell r="O43" t="str">
            <v>No Preference</v>
          </cell>
          <cell r="P43" t="str">
            <v>Female</v>
          </cell>
          <cell r="Q43">
            <v>31079</v>
          </cell>
          <cell r="R43" t="str">
            <v>On a writing sabbatical</v>
          </cell>
          <cell r="S43" t="str">
            <v>General Community</v>
          </cell>
          <cell r="T43" t="str">
            <v>Community</v>
          </cell>
          <cell r="U43" t="str">
            <v>Black or African American;White or Caucasian;</v>
          </cell>
          <cell r="V43" t="str">
            <v>Volunteer: Health</v>
          </cell>
          <cell r="X43">
            <v>43070</v>
          </cell>
          <cell r="BK43" t="str">
            <v>Female</v>
          </cell>
          <cell r="BL43" t="str">
            <v>Black or African American</v>
          </cell>
          <cell r="BM43">
            <v>37987</v>
          </cell>
          <cell r="BN43">
            <v>270530268165</v>
          </cell>
          <cell r="BO43">
            <v>270530212004</v>
          </cell>
          <cell r="BQ43">
            <v>9</v>
          </cell>
        </row>
        <row r="44">
          <cell r="A44" t="str">
            <v>a1v2J0000028pRvQAI</v>
          </cell>
          <cell r="B44">
            <v>42797</v>
          </cell>
          <cell r="C44">
            <v>42947</v>
          </cell>
          <cell r="D44" t="str">
            <v>Question: Activities:           Answer: BBBS Summer Picnic Support Form Little?s Full Name: __L_first_name L_last_name__________________________________________ Bigs?s Full Name: _____B_first_name B_last_name________________________________________ BBBS Primary Contact Person: ___Mai Shoua Lee_______________________________ Please answer the following questions together (use the back if necessary): 1. How many match activities have you done together this summer, not including today? (circle your answer) a. Zero-One b. Two-Three c. XFour-Five d. Other _____ 2. Do you ever include family or friends on your match activities (besides the summer picnic today)? a. XNo b. Yes, explain: _____________________ 3. What kinds of goals would you (Little) like to accomplish with your Big this summer? (Circle 1-2 goals) a. XTry something new that you have never tried by the end of the summer b. Pick an arts and crafts project and complete it by the end of this summer c. Go to the library, check out a book, and read it together before school starts d. XDo more outdoor activities like swimming, fishing, bike riding, playing a sport e. Other, for example ________________________ 4. How does your match (Big/Little) show appreciation to one another? (circle all that apply) a. XSaying please and thank you b. Hugs c. XHigh fives, fist bumps d. XDoing something thoughtful e. Other, explain: _____________ 5. Do you need a follow up call from Match Support to address any questions regarding your match? A. Yes, ASAP B. Yes, but it?s not urgent C. XNo D. Are you wiling to be contacted by BBBS to help recruit BIGS in your community? XY/N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attended bbbs picnic and completed support form. Msc got a chance to chat with them for a bit. no concerns.</v>
          </cell>
          <cell r="E44" t="str">
            <v>Closed</v>
          </cell>
          <cell r="F44" t="str">
            <v>0032J00003PLe29QAD</v>
          </cell>
          <cell r="G44" t="str">
            <v>0032J00003PhDOI</v>
          </cell>
          <cell r="H44" t="str">
            <v>Hennepin</v>
          </cell>
          <cell r="J44">
            <v>40</v>
          </cell>
          <cell r="K44" t="str">
            <v>Unemployed</v>
          </cell>
          <cell r="N44" t="str">
            <v>Masters Degree</v>
          </cell>
          <cell r="O44" t="str">
            <v>No Preference</v>
          </cell>
          <cell r="P44" t="str">
            <v>Female</v>
          </cell>
          <cell r="Q44">
            <v>31079</v>
          </cell>
          <cell r="R44" t="str">
            <v>On a writing sabbatical</v>
          </cell>
          <cell r="S44" t="str">
            <v>General Community</v>
          </cell>
          <cell r="T44" t="str">
            <v>Community</v>
          </cell>
          <cell r="U44" t="str">
            <v>Black or African American;White or Caucasian;</v>
          </cell>
          <cell r="V44" t="str">
            <v>Volunteer: Health</v>
          </cell>
          <cell r="X44">
            <v>43070</v>
          </cell>
          <cell r="BK44" t="str">
            <v>Female</v>
          </cell>
          <cell r="BL44" t="str">
            <v>Black or African American</v>
          </cell>
          <cell r="BM44">
            <v>37987</v>
          </cell>
          <cell r="BN44">
            <v>270530268165</v>
          </cell>
          <cell r="BO44">
            <v>270530212004</v>
          </cell>
          <cell r="BQ44">
            <v>9</v>
          </cell>
        </row>
        <row r="45">
          <cell r="A45" t="str">
            <v>a1v2J0000028pRvQAI</v>
          </cell>
          <cell r="B45">
            <v>42797</v>
          </cell>
          <cell r="C45">
            <v>42824</v>
          </cell>
          <cell r="D45" t="str">
            <v>Question: Activities:           Answer: Msc asked about activities. Bs said they met twice where they went bowling and watched a movie. Question: Child Safety:           Answer: Bs has msc's and mom's contact info. Question: Child Development:           Answer: None during this contact. Question: Child/Volunteer Relationship development:           Answer: Msc asked about match relationship. Bs said it is going really well. They are planning to meet twice a month. Msc asked what bs thought of Ls. She said Ls is "a great kid." Bs sees potentials in Ls and they share similarities. Bs said Ls was quiet at first, but then warmed up to bs. Msc asked how is communication between mom and bs, she said it is good, they mainly text. Question: Relationship with BBBS:           Answer: Msc introduced self and role. Msc talked about match central and newsletter. Msc emailed bs the info. Question: Parent/Volunteer Concerns:           Answer: Bs does not have concerns. Question: Other Comments-List progress/activities in school and in JJ System:           Answer: Bs told msc that Ls will be having a new baby sibling. Bs was not sure who to communicate with about any possible changes, msc encouraged her to check in with mom on it. Question: MSS Notes:           Answer: Match is doing really well as reported by bs. They are starting off well with activities and communications. no concerns. continue call.</v>
          </cell>
          <cell r="E45" t="str">
            <v>Closed</v>
          </cell>
          <cell r="F45" t="str">
            <v>0032J00003PLe29QAD</v>
          </cell>
          <cell r="G45" t="str">
            <v>0032J00003PhDOI</v>
          </cell>
          <cell r="H45" t="str">
            <v>Hennepin</v>
          </cell>
          <cell r="J45">
            <v>40</v>
          </cell>
          <cell r="K45" t="str">
            <v>Unemployed</v>
          </cell>
          <cell r="N45" t="str">
            <v>Masters Degree</v>
          </cell>
          <cell r="O45" t="str">
            <v>No Preference</v>
          </cell>
          <cell r="P45" t="str">
            <v>Female</v>
          </cell>
          <cell r="Q45">
            <v>31079</v>
          </cell>
          <cell r="R45" t="str">
            <v>On a writing sabbatical</v>
          </cell>
          <cell r="S45" t="str">
            <v>General Community</v>
          </cell>
          <cell r="T45" t="str">
            <v>Community</v>
          </cell>
          <cell r="U45" t="str">
            <v>Black or African American;White or Caucasian;</v>
          </cell>
          <cell r="V45" t="str">
            <v>Volunteer: Health</v>
          </cell>
          <cell r="X45">
            <v>43070</v>
          </cell>
          <cell r="BK45" t="str">
            <v>Female</v>
          </cell>
          <cell r="BL45" t="str">
            <v>Black or African American</v>
          </cell>
          <cell r="BM45">
            <v>37987</v>
          </cell>
          <cell r="BN45">
            <v>270530268165</v>
          </cell>
          <cell r="BO45">
            <v>270530212004</v>
          </cell>
          <cell r="BQ45">
            <v>9</v>
          </cell>
        </row>
        <row r="46">
          <cell r="A46" t="str">
            <v>a1v2J0000028pRvQAI</v>
          </cell>
          <cell r="B46">
            <v>42797</v>
          </cell>
          <cell r="C46">
            <v>43019</v>
          </cell>
          <cell r="D46" t="str">
            <v>Question: Activities:           Answer: Msc asked about activities. Bs said they recently met to go to the movies. They were able to talk on the drive there. Before that outing, bs was sick; therefore, they didn't meet. Question: Child Safety:           Answer: Msc asked if bs ever leaves Ls alone with someone else, bs said no. Question: Child Development:           Answer: Msc checked on Ls. Bs said Ls is doing good, she is at a new school now. Bs will check in with Ls for more details next time they meet. Question: Child/Volunteer Relationship development:           Answer: Msc asked about match relationship. Bs said it is good. Msc asked if there is anything Bs like done differently in match. Bs said no. She added that "the more time we meet, the more we are able to relate to each other and have fun!" Msc is glad to hear this. Question: Relationship with BBBS:           Answer: Msc asked if any support/activity is needed for match. Bs said no. Question: Parent/Volunteer Concerns:           Answer: No concerns. Question: Other Comments-List progress/activities in school and in JJ System:           Answer: n/a Question: MSS Notes:           Answer: Match is doing good. They recently met for an outing. Bs reported, "the more time we meet, the more we are able to relate to each other and have fun!" no concerns. continue call.</v>
          </cell>
          <cell r="E46" t="str">
            <v>Closed</v>
          </cell>
          <cell r="F46" t="str">
            <v>0032J00003PLe29QAD</v>
          </cell>
          <cell r="G46" t="str">
            <v>0032J00003PhDOI</v>
          </cell>
          <cell r="H46" t="str">
            <v>Hennepin</v>
          </cell>
          <cell r="J46">
            <v>40</v>
          </cell>
          <cell r="K46" t="str">
            <v>Unemployed</v>
          </cell>
          <cell r="N46" t="str">
            <v>Masters Degree</v>
          </cell>
          <cell r="O46" t="str">
            <v>No Preference</v>
          </cell>
          <cell r="P46" t="str">
            <v>Female</v>
          </cell>
          <cell r="Q46">
            <v>31079</v>
          </cell>
          <cell r="R46" t="str">
            <v>On a writing sabbatical</v>
          </cell>
          <cell r="S46" t="str">
            <v>General Community</v>
          </cell>
          <cell r="T46" t="str">
            <v>Community</v>
          </cell>
          <cell r="U46" t="str">
            <v>Black or African American;White or Caucasian;</v>
          </cell>
          <cell r="V46" t="str">
            <v>Volunteer: Health</v>
          </cell>
          <cell r="X46">
            <v>43070</v>
          </cell>
          <cell r="BK46" t="str">
            <v>Female</v>
          </cell>
          <cell r="BL46" t="str">
            <v>Black or African American</v>
          </cell>
          <cell r="BM46">
            <v>37987</v>
          </cell>
          <cell r="BN46">
            <v>270530268165</v>
          </cell>
          <cell r="BO46">
            <v>270530212004</v>
          </cell>
          <cell r="BQ46">
            <v>9</v>
          </cell>
        </row>
        <row r="47">
          <cell r="A47" t="str">
            <v>a1v2J0000028pRvQAI</v>
          </cell>
          <cell r="B47">
            <v>42797</v>
          </cell>
          <cell r="C47">
            <v>43070</v>
          </cell>
          <cell r="E47" t="str">
            <v>Closed</v>
          </cell>
          <cell r="F47" t="str">
            <v>0032J00003PLe29QAD</v>
          </cell>
          <cell r="G47" t="str">
            <v>0032J00003PhDOI</v>
          </cell>
          <cell r="H47" t="str">
            <v>Hennepin</v>
          </cell>
          <cell r="J47">
            <v>40</v>
          </cell>
          <cell r="K47" t="str">
            <v>Unemployed</v>
          </cell>
          <cell r="N47" t="str">
            <v>Masters Degree</v>
          </cell>
          <cell r="O47" t="str">
            <v>No Preference</v>
          </cell>
          <cell r="P47" t="str">
            <v>Female</v>
          </cell>
          <cell r="Q47">
            <v>31079</v>
          </cell>
          <cell r="R47" t="str">
            <v>On a writing sabbatical</v>
          </cell>
          <cell r="S47" t="str">
            <v>General Community</v>
          </cell>
          <cell r="T47" t="str">
            <v>Community</v>
          </cell>
          <cell r="U47" t="str">
            <v>Black or African American;White or Caucasian;</v>
          </cell>
          <cell r="V47" t="str">
            <v>Volunteer: Health</v>
          </cell>
          <cell r="X47">
            <v>43070</v>
          </cell>
          <cell r="BK47" t="str">
            <v>Female</v>
          </cell>
          <cell r="BL47" t="str">
            <v>Black or African American</v>
          </cell>
          <cell r="BM47">
            <v>37987</v>
          </cell>
          <cell r="BN47">
            <v>270530268165</v>
          </cell>
          <cell r="BO47">
            <v>270530212004</v>
          </cell>
          <cell r="BQ47">
            <v>9</v>
          </cell>
        </row>
        <row r="48">
          <cell r="A48" t="str">
            <v>a1v2J000002uR0JQAU</v>
          </cell>
          <cell r="B48">
            <v>43202</v>
          </cell>
          <cell r="C48">
            <v>44603</v>
          </cell>
          <cell r="D48" t="str">
            <v>I called BS after receiving negative and concerning feedback from PG and LS. I shared a summary of the very long conversation I had with PG and LS during which they repeatedly affirmed their desire to end the match as soon as possible. Their justification was complex but centered around a few things: lack of a strong connection -- PG and LS both expressed that the bond between LS and BS isn't very strong. They don't have a deep bond erosion of trust -- PG and LS feel like they cannot count on BS to accommodate their needs and adhere to BBBS guidelines. They accuse her of things like inviting other people to attend meetups without informing them, not driving safely, and using guilt or shame to make LS feel bad about missing meetups or not wanting to do certain activities clash of personalities -- PG and LS both expressed that BS can be controlling and judgmental. They said BS would use guilt to manipulate LS into doing activities she wasn't interested in, cast judgment on their lifestyle, and disrespect their boundaries (e.x. entering their home uninvited during pick up/drop off and making comments about cleanliness). PG and LS also referenced alleged behavior in PG's personal life, accusing her of being a "stalker" whose ex-husband put a restraining order out on her. LS expressed fear that BS would "show up at their house" after closure, however, PG did not share the same concern. failure to adhere to the BBBS policy of 1-1 meetups -- PG and LS indicated that BS would frequently have other family members present during their meetups. BS' son was brought up a few times as someone who was around often. BS' son is an "adult," which made PG especially concerned. using guilt to emotionally manipulate -- as noted above, PG and LS said that BS would hold things like the cost of a ticket for an event over LS' head and make her feel bad for not wanting to go or not being able to go issues with planning and communication -- PG believes that PG has "a lot going on in her life" that have led to poor communication and inconsistent meetups. inability to accommodate LS' mental health -- as noted above, PG and LS expressed that BS would not accommodate LS' mental health needs during certain meetups. From what I have been told, LS suffers from social anxiety and some form of bipolar disorcer. They repeatedly mentioned LS' social anxiety around groups of people, especially new people. The "last straw," as PG put it, was a recent outing to the zoo. PG and LS were under the impression that the meeting would be 1-1 and they were surprised and upset to learn that members of BS' family were meeting them there. While at the zoo, LS' social anxiety was triggered and she desired to leave. LS claimed that she asked BS to take her home during their meetup. BS was allegedly insistent that LS should stay and used language that felt manipulative. PG and LS shared that this was same type of guilt tripping that was pervasive in the relationship for a very long time (e.x. BS would hold the price of admission or the logistical effort she had to invest into an activity as a means to make LS feel bad for not wanting to do an activity). LS claimed that she reached out to PG via SMS while they were at the zoo and asked PG to convince BS to take her home. PG and LS believe that BS ignored PG's outreach and coerced LS into staying the whole time. PG claimed to reach out to another family member/family friend to have them pick her up from the zoo as well. PG and LS claim that LS had a panic attack when she returned home from the zoo. PG and LS feel like this incident pushed the relationship past the point of repair. They no longer feel like they can trust BS to take care of LS and be responsive to her needs. PG also feels like LS has grown a lot and has a much stronger support system around her than she did when the match was introduced. They accuse BS of being controlling (using guilt on LS), inconsistent with meetups (changing plans last second), and judgmental of their lifestyle (making comments about the cleanliness of their home and LS contributions to household chores). PG made comments that BS "has a lot going on in her personal life" and doesn't handle rejection well. PG and LS also shared that BS would get into arguments with her son in front of LS and these made LS uncomfortable. PG is especially concerned that BS' son is around sometimes because he is an adult (age unknown). LS' concern about BS' family being around centered more around feeling left out, but not necessarily threatened or unsafe. The legitimate safety issue LS is more concerned with is mental/emotional, as she struggles to be around too many people, especially those she doesn't know very well. LS also accused BS of inattentive driving (texting) and veering out of the lane. LS no longer looks forward to seeing BS and would like to close the match. After sharing this information, BS immediately expressed that she was surprised, perhaps even shocked, to learn that PG and LS were feeling this way. BS shared that they had not been meeting up very much recently and that these concerns had never been brought to her attention during the 3.5 years they were together. BS said that they had visited the zoo before and there were no issues. BS shared that the family would send LS' brother along on meetups on multiple occasions. In fact, LS' brother was tagging along on their last meetup at the zoo (a pretty significant fact that PG and LS failed to disclose to me). BS said that their families have had multiple interactions and she never sensed there were any issues or discomfort. BS did not realize the trip to the zoo was so "problematic" and wishes that PG would have reached out to her directly before choosing to close the match. BS' side of the story is that she already had plans to go to the zoo with members of her own family. She ended up with extra tickets and reached out to PG and LS to see if LS would like to tag along. BS admitted that she is unsure whether she told the family that her family would be attending. BS was supposed to pick up LS at 10am but PG wasn?t home. BS picked up PG from work to go pick up LS. BS son drove BS and LS to the zoo (unsure whether BS' son was driving to transport PG from work). BS said that LS has met her son more than once and the family never expressed any concerns about him or their relationship (specifically, the alleged arguments). BS sensed that LS was losing interest at the zoo and not having a very good time. BS claimed that she was in contact with PG via SMS while they were at the zoo and refuted that she ignored PG's outreach. BS shared that LS would often have sudden mood swings and lose interest in activities that she had willingly agreed to take part in. BS said that this was a very common issue in their relationship that she has regularly discussed with PG. BS has been aware of LS' mental health challenges (bipolar disorder and social anxiety) and has requested PG's support several times on how to best support LS. (previous MSC's support these claims) BS said that she is often faced with the conundrum of encouraging LS to "push through" and stay engaged with an activity vs. taking her home and potentially missing a fun opportunity. BS said that this trip to the zoo was one of those cases. BS reaffirmed that she has spoken with PG about this multiple times in the past and requested her guidance and support. BS expressed a deep sadness and remorse for anything she may have done to cause harm in the relationship. She also expressed frustration, rooted in confusion, and again wished that PG would have said something to her before choosing to close. BS said that she has received a "polar opposite" impression from the family about how things were going. BS feels like the family has withheld a lot of important information from her that would have been helpful. BS respects that the family wishes to cease all contact and assured me that she will go along with this. BS' only request is that I pass along an apology to the family, which I agreed to do. BS suspects that the breakdown in the relationship may be partially the result of LS just not liking her. BS also wondered aloud whether LS' mental health challenges, exacerbated by COVID, have contributed to this outcome. BS said that she and PG spoke many times about LS' recent and significant uptick in depressive mood. I told BS that I appreciated her willingness to listen intently and calmly to the allegations PG and BS made against her. I appreciated her honest response about how things unfolded from her perspective. I shared that all parties seemed to be violating BBBS guidelines when it comes to 1-1 meetups and some of the negative outcomes that those guidelines are meant to prevent were realized in their relationship. Open and honest communication was poorly maintained and it's unclear who is most responsible. I confirmed with BS that there were no incidents of inappropriate behavior between anyone in her family or friend circle and LS. I told BS that the match would be closing and that I would pass along her apologies. I expressed that BBBS likely shares some responsibility in the unraveling of their relationship. I noticed that the match had been through 3 caseload transfers in 3.5 years, which is certainly not ideal. I said that I had received no information from previous MEC of there being any significatn issues with this match.</v>
          </cell>
          <cell r="E48" t="str">
            <v>Closed</v>
          </cell>
          <cell r="F48" t="str">
            <v>0032J00003PfZ6OQAV</v>
          </cell>
          <cell r="G48" t="str">
            <v>0032J00003PgoV1</v>
          </cell>
          <cell r="H48" t="str">
            <v>Washington</v>
          </cell>
          <cell r="J48">
            <v>65</v>
          </cell>
          <cell r="K48" t="str">
            <v>Tech: Research/Design</v>
          </cell>
          <cell r="M48">
            <v>43201</v>
          </cell>
          <cell r="O48" t="str">
            <v>No Preference</v>
          </cell>
          <cell r="P48" t="str">
            <v>Female</v>
          </cell>
          <cell r="Q48">
            <v>21671</v>
          </cell>
          <cell r="R48" t="str">
            <v>3M</v>
          </cell>
          <cell r="S48" t="str">
            <v>General Community</v>
          </cell>
          <cell r="T48" t="str">
            <v>Community</v>
          </cell>
          <cell r="U48" t="str">
            <v>White or Caucasian;</v>
          </cell>
          <cell r="V48" t="str">
            <v>Child/Family: Feels incompatible with volunteer</v>
          </cell>
          <cell r="W48"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48"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48" t="str">
            <v>Female</v>
          </cell>
          <cell r="BL48" t="str">
            <v>Black or African American; White or Caucasian</v>
          </cell>
          <cell r="BM48">
            <v>38869</v>
          </cell>
          <cell r="BN48">
            <v>271630703034</v>
          </cell>
          <cell r="BO48">
            <v>271630702061</v>
          </cell>
          <cell r="BQ48">
            <v>46.1</v>
          </cell>
        </row>
        <row r="49">
          <cell r="A49" t="str">
            <v>a1v2J000002uR0JQAU</v>
          </cell>
          <cell r="B49">
            <v>43202</v>
          </cell>
          <cell r="C49">
            <v>44374</v>
          </cell>
          <cell r="D49" t="str">
            <v>BBBS June 2021 Check In Form Please provide your full name and any recent updates to your contact info (phone #, email, street address)  * B_first_name B_last_name How many times have you met up (virtually or in-person) with your Little since your last check in? Give your best estimate  * Maybe 3 How many hours do you typically spend together?  * 1-2 What activities (virtual or in-person) have you been doing? Please describe any recent highlights or challenges?  * Mostly talking about art and family Please describe how your conversations have been going recently. What do you usually talk about? Have there been any significant changes in your lives?  * No big changes. Her sister is gone for the summer. Her mom is working full time. Have you ever played a game with your Little? If so, what are your favorites?  * No Are there any games that you hope to play with your Little in the future? Please describe below  * Yes. Sequence and hearts Have you and your Little ever worked on a project or task together? If so, what did you work on and how did it go?  * Yes. Art projects and crafts Are there any projects that you hope to complete with your Little in the future? Please describe below  * Yes. More art projects and crafts. Do you need any support from me (your Program Coordinator) to brainstorm new games or projects for your match? If so, how can I help?  * No Has your Little recently expressed what they're considering when it comes to life after high school? Is there anything they are passionate about?  * Passionate about art/drawing How can you help your Little learn more about college and careers? Do you need additional support from your coordinator with this?  * Not at this time. Have you recently discussed your plan or specific rules for safe in person meetups with your Little's parent/guardian? If so, please give me an update:  * I talked to Jovan on a regular basis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We are good</v>
          </cell>
          <cell r="E49" t="str">
            <v>Closed</v>
          </cell>
          <cell r="F49" t="str">
            <v>0032J00003PfZ6OQAV</v>
          </cell>
          <cell r="G49" t="str">
            <v>0032J00003PgoV1</v>
          </cell>
          <cell r="H49" t="str">
            <v>Washington</v>
          </cell>
          <cell r="J49">
            <v>65</v>
          </cell>
          <cell r="K49" t="str">
            <v>Tech: Research/Design</v>
          </cell>
          <cell r="M49">
            <v>43201</v>
          </cell>
          <cell r="O49" t="str">
            <v>No Preference</v>
          </cell>
          <cell r="P49" t="str">
            <v>Female</v>
          </cell>
          <cell r="Q49">
            <v>21671</v>
          </cell>
          <cell r="R49" t="str">
            <v>3M</v>
          </cell>
          <cell r="S49" t="str">
            <v>General Community</v>
          </cell>
          <cell r="T49" t="str">
            <v>Community</v>
          </cell>
          <cell r="U49" t="str">
            <v>White or Caucasian;</v>
          </cell>
          <cell r="V49" t="str">
            <v>Child/Family: Feels incompatible with volunteer</v>
          </cell>
          <cell r="W49"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49"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49" t="str">
            <v>Female</v>
          </cell>
          <cell r="BL49" t="str">
            <v>Black or African American; White or Caucasian</v>
          </cell>
          <cell r="BM49">
            <v>38869</v>
          </cell>
          <cell r="BN49">
            <v>271630703034</v>
          </cell>
          <cell r="BO49">
            <v>271630702061</v>
          </cell>
          <cell r="BQ49">
            <v>46.1</v>
          </cell>
        </row>
        <row r="50">
          <cell r="A50" t="str">
            <v>a1v2J000002uR0JQAU</v>
          </cell>
          <cell r="B50">
            <v>43202</v>
          </cell>
          <cell r="C50">
            <v>44273</v>
          </cell>
          <cell r="D50" t="str">
            <v>BS reports that life is going well. No big changes or updates. BS reports the match has been going well overall. They are seeing each less often, but fairly consistently. PC said that oftentimes, consistency can be a better sign of the health of a match over frequency. LS recently got a phone, but doesn't respond reliably. PC encouraged BS to keep working directly with PG or engage in a 3 way text so that PG can hold LS BS and LS have been talking on the phone pretty regularly. H omeschooling has been hard for LS but she is doing okay. LS' little sister has been having a much harder time with homeschooling. PG got a new job. Talked CCR: LS showed BS her art. BS said LS is really talented. PC encouraged BS to talk with LS about art classes at school and in the community. BS mentioned that LS doesn't have as much fun in classes because she feels confined by the assignments LS was having episodes of depression at the beginning of quarantine. BS thinks she is on medication and receiving professional help. PC shared more information about the BBBS newsletter and BBBS programming No other questions or concerns at this time</v>
          </cell>
          <cell r="E50" t="str">
            <v>Closed</v>
          </cell>
          <cell r="F50" t="str">
            <v>0032J00003PfZ6OQAV</v>
          </cell>
          <cell r="G50" t="str">
            <v>0032J00003PgoV1</v>
          </cell>
          <cell r="H50" t="str">
            <v>Washington</v>
          </cell>
          <cell r="J50">
            <v>65</v>
          </cell>
          <cell r="K50" t="str">
            <v>Tech: Research/Design</v>
          </cell>
          <cell r="M50">
            <v>43201</v>
          </cell>
          <cell r="O50" t="str">
            <v>No Preference</v>
          </cell>
          <cell r="P50" t="str">
            <v>Female</v>
          </cell>
          <cell r="Q50">
            <v>21671</v>
          </cell>
          <cell r="R50" t="str">
            <v>3M</v>
          </cell>
          <cell r="S50" t="str">
            <v>General Community</v>
          </cell>
          <cell r="T50" t="str">
            <v>Community</v>
          </cell>
          <cell r="U50" t="str">
            <v>White or Caucasian;</v>
          </cell>
          <cell r="V50" t="str">
            <v>Child/Family: Feels incompatible with volunteer</v>
          </cell>
          <cell r="W50"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50"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50" t="str">
            <v>Female</v>
          </cell>
          <cell r="BL50" t="str">
            <v>Black or African American; White or Caucasian</v>
          </cell>
          <cell r="BM50">
            <v>38869</v>
          </cell>
          <cell r="BN50">
            <v>271630703034</v>
          </cell>
          <cell r="BO50">
            <v>271630702061</v>
          </cell>
          <cell r="BQ50">
            <v>46.1</v>
          </cell>
        </row>
        <row r="51">
          <cell r="A51" t="str">
            <v>a1v2J000002uR0JQAU</v>
          </cell>
          <cell r="B51">
            <v>43202</v>
          </cell>
          <cell r="C51">
            <v>44132</v>
          </cell>
          <cell r="D51" t="str">
            <v>BS is out of town visiting family. Her friends/family are safe and healthy. Match isn't meeting up very often but they have seen each other a few times in the last couple of months. They've gone to Dairy Queen and shopping. LS has been diagnosed with bipolar disorder LS has mood swings LS has had trouble in school but things seem to be going better now LS has a counselor at school who supports her PG can get frustrated with how the school handles LS' diagnosis BS and PG communicate well Sometimes LS' siblings tag along (we discussed why this is not ideal and I encouraged BS to talk with PG about getting the sibling signed up with BBBS so she could have her own Big) PG was going back to school for project management supervisor training but BS is unsure what her employment situation currently is BS has been out of town quite a bit over the summer College and Career Readiness LS doesn't like school but she is a really good artist They've talked about developing skills outside of school. I suggested a care package of art activities and supplies using her usual meetup budget. BS seemed to think this was a good idea. No other questions or concerns at this time</v>
          </cell>
          <cell r="E51" t="str">
            <v>Closed</v>
          </cell>
          <cell r="F51" t="str">
            <v>0032J00003PfZ6OQAV</v>
          </cell>
          <cell r="G51" t="str">
            <v>0032J00003PgoV1</v>
          </cell>
          <cell r="H51" t="str">
            <v>Washington</v>
          </cell>
          <cell r="J51">
            <v>65</v>
          </cell>
          <cell r="K51" t="str">
            <v>Tech: Research/Design</v>
          </cell>
          <cell r="M51">
            <v>43201</v>
          </cell>
          <cell r="O51" t="str">
            <v>No Preference</v>
          </cell>
          <cell r="P51" t="str">
            <v>Female</v>
          </cell>
          <cell r="Q51">
            <v>21671</v>
          </cell>
          <cell r="R51" t="str">
            <v>3M</v>
          </cell>
          <cell r="S51" t="str">
            <v>General Community</v>
          </cell>
          <cell r="T51" t="str">
            <v>Community</v>
          </cell>
          <cell r="U51" t="str">
            <v>White or Caucasian;</v>
          </cell>
          <cell r="V51" t="str">
            <v>Child/Family: Feels incompatible with volunteer</v>
          </cell>
          <cell r="W51"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51"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51" t="str">
            <v>Female</v>
          </cell>
          <cell r="BL51" t="str">
            <v>Black or African American; White or Caucasian</v>
          </cell>
          <cell r="BM51">
            <v>38869</v>
          </cell>
          <cell r="BN51">
            <v>271630703034</v>
          </cell>
          <cell r="BO51">
            <v>271630702061</v>
          </cell>
          <cell r="BQ51">
            <v>46.1</v>
          </cell>
        </row>
        <row r="52">
          <cell r="A52" t="str">
            <v>a1v2J000002uR0JQAU</v>
          </cell>
          <cell r="B52">
            <v>43202</v>
          </cell>
          <cell r="C52">
            <v>43980</v>
          </cell>
          <cell r="D52" t="str">
            <v>TPC interacted with BS VERY briefly via text. TPC asked BS how things have been with LS during pandemic, and BS stated that she has communicated more with PG than LS during the pandemic, but things are going okay. When TPC followed up on previous conversations about LS recent diagnosis and if she's felt a greater impact during pandemic, BS never responded.</v>
          </cell>
          <cell r="E52" t="str">
            <v>Closed</v>
          </cell>
          <cell r="F52" t="str">
            <v>0032J00003PfZ6OQAV</v>
          </cell>
          <cell r="G52" t="str">
            <v>0032J00003PgoV1</v>
          </cell>
          <cell r="H52" t="str">
            <v>Washington</v>
          </cell>
          <cell r="J52">
            <v>65</v>
          </cell>
          <cell r="K52" t="str">
            <v>Tech: Research/Design</v>
          </cell>
          <cell r="M52">
            <v>43201</v>
          </cell>
          <cell r="O52" t="str">
            <v>No Preference</v>
          </cell>
          <cell r="P52" t="str">
            <v>Female</v>
          </cell>
          <cell r="Q52">
            <v>21671</v>
          </cell>
          <cell r="R52" t="str">
            <v>3M</v>
          </cell>
          <cell r="S52" t="str">
            <v>General Community</v>
          </cell>
          <cell r="T52" t="str">
            <v>Community</v>
          </cell>
          <cell r="U52" t="str">
            <v>White or Caucasian;</v>
          </cell>
          <cell r="V52" t="str">
            <v>Child/Family: Feels incompatible with volunteer</v>
          </cell>
          <cell r="W52"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52"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52" t="str">
            <v>Female</v>
          </cell>
          <cell r="BL52" t="str">
            <v>Black or African American; White or Caucasian</v>
          </cell>
          <cell r="BM52">
            <v>38869</v>
          </cell>
          <cell r="BN52">
            <v>271630703034</v>
          </cell>
          <cell r="BO52">
            <v>271630702061</v>
          </cell>
          <cell r="BQ52">
            <v>46.1</v>
          </cell>
        </row>
        <row r="53">
          <cell r="A53" t="str">
            <v>a1v2J000002uR0JQAU</v>
          </cell>
          <cell r="B53">
            <v>43202</v>
          </cell>
          <cell r="C53">
            <v>43818</v>
          </cell>
          <cell r="D53" t="str">
            <v>When MEC asked how things have been with the match, BS said that things have been pretty good. BS stated that LS is 13 and currently having problems with school because she is frequently late and misses the bus often. BS acknowledged that BS would also rather do art than school work because it's what she loves. BS stated that she has a good relationship with PG. Reflecting on the overview of teen programming, BS acknowledged that there are a lot of STEM opportunities , but none for artistic interests. TPC told BS that while we don't have any direct connections to artistic institutions, TPC encouraged BS and LS to visit spaces of LS's interest while taking advantage of college prep opportunities with BBBS. TPC also told BS about the Early Scholarship Program and told BS that she would circle back when applications open.</v>
          </cell>
          <cell r="E53" t="str">
            <v>Closed</v>
          </cell>
          <cell r="F53" t="str">
            <v>0032J00003PfZ6OQAV</v>
          </cell>
          <cell r="G53" t="str">
            <v>0032J00003PgoV1</v>
          </cell>
          <cell r="H53" t="str">
            <v>Washington</v>
          </cell>
          <cell r="J53">
            <v>65</v>
          </cell>
          <cell r="K53" t="str">
            <v>Tech: Research/Design</v>
          </cell>
          <cell r="M53">
            <v>43201</v>
          </cell>
          <cell r="O53" t="str">
            <v>No Preference</v>
          </cell>
          <cell r="P53" t="str">
            <v>Female</v>
          </cell>
          <cell r="Q53">
            <v>21671</v>
          </cell>
          <cell r="R53" t="str">
            <v>3M</v>
          </cell>
          <cell r="S53" t="str">
            <v>General Community</v>
          </cell>
          <cell r="T53" t="str">
            <v>Community</v>
          </cell>
          <cell r="U53" t="str">
            <v>White or Caucasian;</v>
          </cell>
          <cell r="V53" t="str">
            <v>Child/Family: Feels incompatible with volunteer</v>
          </cell>
          <cell r="W53"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53"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53" t="str">
            <v>Female</v>
          </cell>
          <cell r="BL53" t="str">
            <v>Black or African American; White or Caucasian</v>
          </cell>
          <cell r="BM53">
            <v>38869</v>
          </cell>
          <cell r="BN53">
            <v>271630703034</v>
          </cell>
          <cell r="BO53">
            <v>271630702061</v>
          </cell>
          <cell r="BQ53">
            <v>46.1</v>
          </cell>
        </row>
        <row r="54">
          <cell r="A54" t="str">
            <v>a1v2J000002uR0JQAU</v>
          </cell>
          <cell r="B54">
            <v>43202</v>
          </cell>
          <cell r="C54">
            <v>43599</v>
          </cell>
          <cell r="D54" t="str">
            <v>1.Big: What are three activities you hope to do this Summer with your little? Swim and fish at the lake, go to the children Museum, hang out in general, take a mini vacation 2.Little: What is the most exciting thing you are doing this summer? Go to a water park 3.Big: How long are your outings usually? How many hours did you spend together last month? 2-3 hours , 8-10 hours 4.Little: What was the last activity you did together? How would you rate it on a scale 1 to 10? We went to Mother's Day brunch, 10 Child Safety Reminder:  Do you need a follow up from MEC? No  Please Circle how you felt about the activity and let us know if you have any feedback: Big-First smiley face , Little: Second Smiley face</v>
          </cell>
          <cell r="E54" t="str">
            <v>Closed</v>
          </cell>
          <cell r="F54" t="str">
            <v>0032J00003PfZ6OQAV</v>
          </cell>
          <cell r="G54" t="str">
            <v>0032J00003PgoV1</v>
          </cell>
          <cell r="H54" t="str">
            <v>Washington</v>
          </cell>
          <cell r="J54">
            <v>65</v>
          </cell>
          <cell r="K54" t="str">
            <v>Tech: Research/Design</v>
          </cell>
          <cell r="M54">
            <v>43201</v>
          </cell>
          <cell r="O54" t="str">
            <v>No Preference</v>
          </cell>
          <cell r="P54" t="str">
            <v>Female</v>
          </cell>
          <cell r="Q54">
            <v>21671</v>
          </cell>
          <cell r="R54" t="str">
            <v>3M</v>
          </cell>
          <cell r="S54" t="str">
            <v>General Community</v>
          </cell>
          <cell r="T54" t="str">
            <v>Community</v>
          </cell>
          <cell r="U54" t="str">
            <v>White or Caucasian;</v>
          </cell>
          <cell r="V54" t="str">
            <v>Child/Family: Feels incompatible with volunteer</v>
          </cell>
          <cell r="W54"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54"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54" t="str">
            <v>Female</v>
          </cell>
          <cell r="BL54" t="str">
            <v>Black or African American; White or Caucasian</v>
          </cell>
          <cell r="BM54">
            <v>38869</v>
          </cell>
          <cell r="BN54">
            <v>271630703034</v>
          </cell>
          <cell r="BO54">
            <v>271630702061</v>
          </cell>
          <cell r="BQ54">
            <v>46.1</v>
          </cell>
        </row>
        <row r="55">
          <cell r="A55" t="str">
            <v>a1v2J000002uR0JQAU</v>
          </cell>
          <cell r="B55">
            <v>43202</v>
          </cell>
          <cell r="C55">
            <v>43571</v>
          </cell>
          <cell r="D55" t="str">
            <v>Match Anniversary: Reflection What is your favorite part of your match? or what makes your match special? Big: L_first_name is lots of fun to be with. She is a great artist and good story teller Little: B_first_name is fun and wise, she is truly a child at heart I admire her as my big she makes me smile What changes have you notices in yourself since being friends with your little/big? Big: I have enjoyed getting to know my little's family. I think about them and try to be helpful in small ways. I have gotten my friends and family involved too. Little: I have been more confident in myself as a person she makes, me smile and I stress less because of it What are 2-3 free or low cost activities you enjoyed together and would recommend to other Matches? We went to a horse show We made slime together We go to thrift stores looking for good deals</v>
          </cell>
          <cell r="E55" t="str">
            <v>Closed</v>
          </cell>
          <cell r="F55" t="str">
            <v>0032J00003PfZ6OQAV</v>
          </cell>
          <cell r="G55" t="str">
            <v>0032J00003PgoV1</v>
          </cell>
          <cell r="H55" t="str">
            <v>Washington</v>
          </cell>
          <cell r="J55">
            <v>65</v>
          </cell>
          <cell r="K55" t="str">
            <v>Tech: Research/Design</v>
          </cell>
          <cell r="M55">
            <v>43201</v>
          </cell>
          <cell r="O55" t="str">
            <v>No Preference</v>
          </cell>
          <cell r="P55" t="str">
            <v>Female</v>
          </cell>
          <cell r="Q55">
            <v>21671</v>
          </cell>
          <cell r="R55" t="str">
            <v>3M</v>
          </cell>
          <cell r="S55" t="str">
            <v>General Community</v>
          </cell>
          <cell r="T55" t="str">
            <v>Community</v>
          </cell>
          <cell r="U55" t="str">
            <v>White or Caucasian;</v>
          </cell>
          <cell r="V55" t="str">
            <v>Child/Family: Feels incompatible with volunteer</v>
          </cell>
          <cell r="W55"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55"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55" t="str">
            <v>Female</v>
          </cell>
          <cell r="BL55" t="str">
            <v>Black or African American; White or Caucasian</v>
          </cell>
          <cell r="BM55">
            <v>38869</v>
          </cell>
          <cell r="BN55">
            <v>271630703034</v>
          </cell>
          <cell r="BO55">
            <v>271630702061</v>
          </cell>
          <cell r="BQ55">
            <v>46.1</v>
          </cell>
        </row>
        <row r="56">
          <cell r="A56" t="str">
            <v>a1v2J000002uR0JQAU</v>
          </cell>
          <cell r="B56">
            <v>43202</v>
          </cell>
          <cell r="C56">
            <v>43545</v>
          </cell>
          <cell r="D56" t="str">
            <v>1. How many times did you get together with your little in February?  I think only once due to my travel and weather. I text and talk with her mom more often. 2. What areas would you like to help your little grow in?  She is very passionate about art. I would like to help her with that and explore some opportunities like ?Dare to Dream? 3. Do you feel that your match relationship continues to develop? Why?   Absolutely. We are well matched and enjoy each other?s company. She is very creative and so am I. 4. How would you describe your overall mentoring experience? What has surprised you the most about being a Big?  It is wonderful. It makes me feel good. I have actually developed a relationship with her whole family.   5. Do you have anything else you would like to discuss? Do you have any personal updates or questions?   Upcoming Activities:  March 30th:  Match Wellness Workshop   *Please see the attached document for a reminder of our policies / guideli nes Thank you!    Take care,</v>
          </cell>
          <cell r="E56" t="str">
            <v>Closed</v>
          </cell>
          <cell r="F56" t="str">
            <v>0032J00003PfZ6OQAV</v>
          </cell>
          <cell r="G56" t="str">
            <v>0032J00003PgoV1</v>
          </cell>
          <cell r="H56" t="str">
            <v>Washington</v>
          </cell>
          <cell r="J56">
            <v>65</v>
          </cell>
          <cell r="K56" t="str">
            <v>Tech: Research/Design</v>
          </cell>
          <cell r="M56">
            <v>43201</v>
          </cell>
          <cell r="O56" t="str">
            <v>No Preference</v>
          </cell>
          <cell r="P56" t="str">
            <v>Female</v>
          </cell>
          <cell r="Q56">
            <v>21671</v>
          </cell>
          <cell r="R56" t="str">
            <v>3M</v>
          </cell>
          <cell r="S56" t="str">
            <v>General Community</v>
          </cell>
          <cell r="T56" t="str">
            <v>Community</v>
          </cell>
          <cell r="U56" t="str">
            <v>White or Caucasian;</v>
          </cell>
          <cell r="V56" t="str">
            <v>Child/Family: Feels incompatible with volunteer</v>
          </cell>
          <cell r="W56"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56"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56" t="str">
            <v>Female</v>
          </cell>
          <cell r="BL56" t="str">
            <v>Black or African American; White or Caucasian</v>
          </cell>
          <cell r="BM56">
            <v>38869</v>
          </cell>
          <cell r="BN56">
            <v>271630703034</v>
          </cell>
          <cell r="BO56">
            <v>271630702061</v>
          </cell>
          <cell r="BQ56">
            <v>46.1</v>
          </cell>
        </row>
        <row r="57">
          <cell r="A57" t="str">
            <v>a1v2J000002uR0JQAU</v>
          </cell>
          <cell r="B57">
            <v>43202</v>
          </cell>
          <cell r="C57">
            <v>43403</v>
          </cell>
          <cell r="D57" t="str">
            <v>Question: Activities:           Answer: MEC was able to get a nice check in with BS. BS said that things have been going "well" and they have been getting together regularly. BS stated that they recently got together and went to a science event that BS's work was hosting within the community. MEC asked for BS to share more about what they did at the event, and BS said they made slime, programmed robots, and played with lizards. Overall, it was a good event. MEC asked how the pair is getting along, and BS said "well". MEC asked what the pair was thinking about doing in the future and if they had anything exciting going on, and BS said no, but that they were looking at the BBBS newsletter and calendar for upcoming events. MEC encouraged them to continue to look and shared that he was happy to help give advice if any was wanted or needed. For a safety reminder, MEC shared the BBBS pet policy and gave a reminder to slowly introduce to animals if they ever do.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going well, pair recently went to a BS work event and had fun, will look for the pair at BBBS events.</v>
          </cell>
          <cell r="E57" t="str">
            <v>Closed</v>
          </cell>
          <cell r="F57" t="str">
            <v>0032J00003PfZ6OQAV</v>
          </cell>
          <cell r="G57" t="str">
            <v>0032J00003PgoV1</v>
          </cell>
          <cell r="H57" t="str">
            <v>Washington</v>
          </cell>
          <cell r="J57">
            <v>65</v>
          </cell>
          <cell r="K57" t="str">
            <v>Tech: Research/Design</v>
          </cell>
          <cell r="M57">
            <v>43201</v>
          </cell>
          <cell r="O57" t="str">
            <v>No Preference</v>
          </cell>
          <cell r="P57" t="str">
            <v>Female</v>
          </cell>
          <cell r="Q57">
            <v>21671</v>
          </cell>
          <cell r="R57" t="str">
            <v>3M</v>
          </cell>
          <cell r="S57" t="str">
            <v>General Community</v>
          </cell>
          <cell r="T57" t="str">
            <v>Community</v>
          </cell>
          <cell r="U57" t="str">
            <v>White or Caucasian;</v>
          </cell>
          <cell r="V57" t="str">
            <v>Child/Family: Feels incompatible with volunteer</v>
          </cell>
          <cell r="W57"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57"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57" t="str">
            <v>Female</v>
          </cell>
          <cell r="BL57" t="str">
            <v>Black or African American; White or Caucasian</v>
          </cell>
          <cell r="BM57">
            <v>38869</v>
          </cell>
          <cell r="BN57">
            <v>271630703034</v>
          </cell>
          <cell r="BO57">
            <v>271630702061</v>
          </cell>
          <cell r="BQ57">
            <v>46.1</v>
          </cell>
        </row>
        <row r="58">
          <cell r="A58" t="str">
            <v>a1v2J000002uR0JQAU</v>
          </cell>
          <cell r="B58">
            <v>43202</v>
          </cell>
          <cell r="C58">
            <v>43335</v>
          </cell>
          <cell r="D58" t="str">
            <v>Question: Activities:           Answer: Very nice conversation with BS. The pair had attended the Summer Picnic, and the support form was very positive at that, so getting to check in with BS over the phone was nice. She stated that they had a fun time at the picnic, they tried a lot of activities, and they enjoyed being outside. MEC noted that one of the things they had written down on the form was that they had gone horseback riding at BS's place - MEC asked how it had gone. BS was thrilled to share about it - LS was extremely excited to go, and it was something that they had been talking about sine their match meeting. Everything went very well, and LS had a great time. Relating to safety, BS said that they took proper safety precautions, and everything went well. Additionally, BS organically brought up that while they had a lot of fun, she was aware of the BBBS guidelines for going to Big's homes, and said that they weren?t going to make it too regular of a visit, rather it would be a special visit every now and then to go to the home. MEC congratulated BS on the outing and was glad to hear that things were going well. MEC additionally encouraged BS to encourage the interest that LS had in animals, and thought that it could be developed in other areas outside of directly going to BS?s home. Finally, MEC asked if either of the two had any big plans before school starts - BS said she did not but LS was going to do a short trip with her family before school started up. BS had no other questions or concerns when asked by MEC.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make sure to continue to have safety conversations about visiting BS's home.</v>
          </cell>
          <cell r="E58" t="str">
            <v>Closed</v>
          </cell>
          <cell r="F58" t="str">
            <v>0032J00003PfZ6OQAV</v>
          </cell>
          <cell r="G58" t="str">
            <v>0032J00003PgoV1</v>
          </cell>
          <cell r="H58" t="str">
            <v>Washington</v>
          </cell>
          <cell r="J58">
            <v>65</v>
          </cell>
          <cell r="K58" t="str">
            <v>Tech: Research/Design</v>
          </cell>
          <cell r="M58">
            <v>43201</v>
          </cell>
          <cell r="O58" t="str">
            <v>No Preference</v>
          </cell>
          <cell r="P58" t="str">
            <v>Female</v>
          </cell>
          <cell r="Q58">
            <v>21671</v>
          </cell>
          <cell r="R58" t="str">
            <v>3M</v>
          </cell>
          <cell r="S58" t="str">
            <v>General Community</v>
          </cell>
          <cell r="T58" t="str">
            <v>Community</v>
          </cell>
          <cell r="U58" t="str">
            <v>White or Caucasian;</v>
          </cell>
          <cell r="V58" t="str">
            <v>Child/Family: Feels incompatible with volunteer</v>
          </cell>
          <cell r="W58"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58"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58" t="str">
            <v>Female</v>
          </cell>
          <cell r="BL58" t="str">
            <v>Black or African American; White or Caucasian</v>
          </cell>
          <cell r="BM58">
            <v>38869</v>
          </cell>
          <cell r="BN58">
            <v>271630703034</v>
          </cell>
          <cell r="BO58">
            <v>271630702061</v>
          </cell>
          <cell r="BQ58">
            <v>46.1</v>
          </cell>
        </row>
        <row r="59">
          <cell r="A59" t="str">
            <v>a1v2J000002uR0JQAU</v>
          </cell>
          <cell r="B59">
            <v>43202</v>
          </cell>
          <cell r="C59">
            <v>43446</v>
          </cell>
          <cell r="D59" t="str">
            <v>Question: Activities:           Answer: TMEC notes that Tanayszra &amp; B_first_name attended the Winter Picnic in December. They were introduced to a variety of activities such as an art project, service project, scavenger hunt and provided with some food vouchers for completing the support form. Their answers were as follows: 1. LittLe: Was there every an activity you didn't think you'd like that you actually enjoyed once you did it? Explain. Little said, "Yes, I thought that the zoo was gonna be boring just looking at the pumpkin carvings but it was fun and cool!" 2. Big: Does your Little communicate more easily with adults or peers? Why? Big said, "Both-I think-I don't see her often with peers". Little: If you had to eat the same meal for the rest of your life, what food would you choose and why? LIttle said, "Ice cream because it is good and there are plenty of flavors to choose from". 3. As a match, do you and your Little have a New Year's resolution or goal? Explain. They said, "Not yet" 4. The safety policy reminder was about the movie, video games, media, and internet policy. They were able to review and asked if they needed a follow up from Match Engagement to address any questions regarding their match? They responded, "no". TMEC didn't get a chance to speak to them but imagines they had a good time a the Winter Picnic. Based on their answers there are no concerns and no follow up is needed.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match attended the Winter Picnic and requested no follow up conversations.</v>
          </cell>
          <cell r="E59" t="str">
            <v>Closed</v>
          </cell>
          <cell r="F59" t="str">
            <v>0032J00003PfZ6OQAV</v>
          </cell>
          <cell r="G59" t="str">
            <v>0032J00003PgoV1</v>
          </cell>
          <cell r="H59" t="str">
            <v>Washington</v>
          </cell>
          <cell r="J59">
            <v>65</v>
          </cell>
          <cell r="K59" t="str">
            <v>Tech: Research/Design</v>
          </cell>
          <cell r="M59">
            <v>43201</v>
          </cell>
          <cell r="O59" t="str">
            <v>No Preference</v>
          </cell>
          <cell r="P59" t="str">
            <v>Female</v>
          </cell>
          <cell r="Q59">
            <v>21671</v>
          </cell>
          <cell r="R59" t="str">
            <v>3M</v>
          </cell>
          <cell r="S59" t="str">
            <v>General Community</v>
          </cell>
          <cell r="T59" t="str">
            <v>Community</v>
          </cell>
          <cell r="U59" t="str">
            <v>White or Caucasian;</v>
          </cell>
          <cell r="V59" t="str">
            <v>Child/Family: Feels incompatible with volunteer</v>
          </cell>
          <cell r="W59"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59"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59" t="str">
            <v>Female</v>
          </cell>
          <cell r="BL59" t="str">
            <v>Black or African American; White or Caucasian</v>
          </cell>
          <cell r="BM59">
            <v>38869</v>
          </cell>
          <cell r="BN59">
            <v>271630703034</v>
          </cell>
          <cell r="BO59">
            <v>271630702061</v>
          </cell>
          <cell r="BQ59">
            <v>46.1</v>
          </cell>
        </row>
        <row r="60">
          <cell r="A60" t="str">
            <v>a1v2J000002uR0JQAU</v>
          </cell>
          <cell r="B60">
            <v>43202</v>
          </cell>
          <cell r="C60">
            <v>43373</v>
          </cell>
          <cell r="D60" t="str">
            <v>Question: Activities:           Answer: MEC was able to get a good check in done with BS, BS says that things are going well in the match, and they seem to be getting comfortable with one another. MEC did review the visits to BS's home, the pair love going there and spending time with BS's animals. BS has done a good job of limiting the trips, additionally she makes sure that there aren't any safety concerns when they are there. When they don't go to the house, they have done some fun crafts projects, they recently made slime which was fun for the pair. MEC asked how the meetings are going now that LS is in school, BS said it wasn't much of an issue. She did not school can be a little tough for LS, but that she tries her best. MEC encouraged her to talk about it with LS and role model positive behaviors, BS said that she would. No other safety concerns or worries from BS.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Pair is doing good, promote BBBS events and review safety policy for going to Big's house.</v>
          </cell>
          <cell r="E60" t="str">
            <v>Closed</v>
          </cell>
          <cell r="F60" t="str">
            <v>0032J00003PfZ6OQAV</v>
          </cell>
          <cell r="G60" t="str">
            <v>0032J00003PgoV1</v>
          </cell>
          <cell r="H60" t="str">
            <v>Washington</v>
          </cell>
          <cell r="J60">
            <v>65</v>
          </cell>
          <cell r="K60" t="str">
            <v>Tech: Research/Design</v>
          </cell>
          <cell r="M60">
            <v>43201</v>
          </cell>
          <cell r="O60" t="str">
            <v>No Preference</v>
          </cell>
          <cell r="P60" t="str">
            <v>Female</v>
          </cell>
          <cell r="Q60">
            <v>21671</v>
          </cell>
          <cell r="R60" t="str">
            <v>3M</v>
          </cell>
          <cell r="S60" t="str">
            <v>General Community</v>
          </cell>
          <cell r="T60" t="str">
            <v>Community</v>
          </cell>
          <cell r="U60" t="str">
            <v>White or Caucasian;</v>
          </cell>
          <cell r="V60" t="str">
            <v>Child/Family: Feels incompatible with volunteer</v>
          </cell>
          <cell r="W60"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60"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60" t="str">
            <v>Female</v>
          </cell>
          <cell r="BL60" t="str">
            <v>Black or African American; White or Caucasian</v>
          </cell>
          <cell r="BM60">
            <v>38869</v>
          </cell>
          <cell r="BN60">
            <v>271630703034</v>
          </cell>
          <cell r="BO60">
            <v>271630702061</v>
          </cell>
          <cell r="BQ60">
            <v>46.1</v>
          </cell>
        </row>
        <row r="61">
          <cell r="A61" t="str">
            <v>a1v2J000002uR0JQAU</v>
          </cell>
          <cell r="B61">
            <v>43202</v>
          </cell>
          <cell r="C61">
            <v>43516</v>
          </cell>
          <cell r="D61" t="str">
            <v>Question: Activities:           Answer: MEC Introduced himself as new MEC, talked about the change in MEC MEC for some background on the match? BS said they get along really well, she gets a long with PG really well MEC asked if they have had any recent challenges? BS said the weather this winter has been challenging but they are working through it MEC asked how is communication? BS said she talks with PG on the regular basis- match is good MEC asked if they have any outings planned? BS said they have done some of BBBS bigger events, plan on attending more MEC asked if little is involved in any winter activities? BS said not that she is aware of, little is really into art MEC asked for any other updates? BS said recently little moved from a school environment to homeschooling- little had been getting bullied at school so this has been a change for the family BS said they talk about bullying and keeps little positive and it hasn't affected their relationship! BS had no other questions or concerns! MEC reminded of monthly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gets along really well, BS likes to attend BBBS bigger events with little!</v>
          </cell>
          <cell r="E61" t="str">
            <v>Closed</v>
          </cell>
          <cell r="F61" t="str">
            <v>0032J00003PfZ6OQAV</v>
          </cell>
          <cell r="G61" t="str">
            <v>0032J00003PgoV1</v>
          </cell>
          <cell r="H61" t="str">
            <v>Washington</v>
          </cell>
          <cell r="J61">
            <v>65</v>
          </cell>
          <cell r="K61" t="str">
            <v>Tech: Research/Design</v>
          </cell>
          <cell r="M61">
            <v>43201</v>
          </cell>
          <cell r="O61" t="str">
            <v>No Preference</v>
          </cell>
          <cell r="P61" t="str">
            <v>Female</v>
          </cell>
          <cell r="Q61">
            <v>21671</v>
          </cell>
          <cell r="R61" t="str">
            <v>3M</v>
          </cell>
          <cell r="S61" t="str">
            <v>General Community</v>
          </cell>
          <cell r="T61" t="str">
            <v>Community</v>
          </cell>
          <cell r="U61" t="str">
            <v>White or Caucasian;</v>
          </cell>
          <cell r="V61" t="str">
            <v>Child/Family: Feels incompatible with volunteer</v>
          </cell>
          <cell r="W61"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61"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61" t="str">
            <v>Female</v>
          </cell>
          <cell r="BL61" t="str">
            <v>Black or African American; White or Caucasian</v>
          </cell>
          <cell r="BM61">
            <v>38869</v>
          </cell>
          <cell r="BN61">
            <v>271630703034</v>
          </cell>
          <cell r="BO61">
            <v>271630702061</v>
          </cell>
          <cell r="BQ61">
            <v>46.1</v>
          </cell>
        </row>
        <row r="62">
          <cell r="A62" t="str">
            <v>a1v2J000002uR0JQAU</v>
          </cell>
          <cell r="B62">
            <v>43202</v>
          </cell>
          <cell r="C62">
            <v>43280</v>
          </cell>
          <cell r="D62" t="str">
            <v>Question: Activities:           Answer: MEC had a very nice phone call with PG. The pair had a few struggles getting together in the month of June, but really both sides were putting a good effort to get together, things simple did work out. Over the past three weeks, PG had a surgery, a family member had surgery, the family went on vacation for a week and half, so there were some struggles to make times work. The good news, however, is that prior to that, things were going very well and they were getting together with regularity, after the saints game they had met up once more at the end of May. BS has shown a good job of making an effort by having a lot of contact with the family through texts and check ins. BS says that they appreciate this, and that she would like to get back on the contact schedule of meeting weekly starting back in July. As for things that the pair is looking to accomplish over the rest of the summer, BS asked for permission in July to take LS to her farm and show her the animals. MEC gave the okay as long as she acquired PG's permission, something BS said she would do. Other than that, they are signed up for the picnic and are looking forward to attending. MEC promised them it would be a good time and looked forward to meeting them all there.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had some challenges getting together but making an effort, no concerns moving forward, going to BS's house for the first time soon.</v>
          </cell>
          <cell r="E62" t="str">
            <v>Closed</v>
          </cell>
          <cell r="F62" t="str">
            <v>0032J00003PfZ6OQAV</v>
          </cell>
          <cell r="G62" t="str">
            <v>0032J00003PgoV1</v>
          </cell>
          <cell r="H62" t="str">
            <v>Washington</v>
          </cell>
          <cell r="J62">
            <v>65</v>
          </cell>
          <cell r="K62" t="str">
            <v>Tech: Research/Design</v>
          </cell>
          <cell r="M62">
            <v>43201</v>
          </cell>
          <cell r="O62" t="str">
            <v>No Preference</v>
          </cell>
          <cell r="P62" t="str">
            <v>Female</v>
          </cell>
          <cell r="Q62">
            <v>21671</v>
          </cell>
          <cell r="R62" t="str">
            <v>3M</v>
          </cell>
          <cell r="S62" t="str">
            <v>General Community</v>
          </cell>
          <cell r="T62" t="str">
            <v>Community</v>
          </cell>
          <cell r="U62" t="str">
            <v>White or Caucasian;</v>
          </cell>
          <cell r="V62" t="str">
            <v>Child/Family: Feels incompatible with volunteer</v>
          </cell>
          <cell r="W62"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62"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62" t="str">
            <v>Female</v>
          </cell>
          <cell r="BL62" t="str">
            <v>Black or African American; White or Caucasian</v>
          </cell>
          <cell r="BM62">
            <v>38869</v>
          </cell>
          <cell r="BN62">
            <v>271630703034</v>
          </cell>
          <cell r="BO62">
            <v>271630702061</v>
          </cell>
          <cell r="BQ62">
            <v>46.1</v>
          </cell>
        </row>
        <row r="63">
          <cell r="A63" t="str">
            <v>a1v2J000002uR0JQAU</v>
          </cell>
          <cell r="B63">
            <v>43202</v>
          </cell>
          <cell r="C63">
            <v>43241</v>
          </cell>
          <cell r="D63" t="str">
            <v>Question: Activities:           Answer: MEC was able to speak to BS at the St. Paul Saints game and Picnic. It was good to get a chance to meet this match, which is still quite new. MEC asked how things were going, BS said good but that she was disappointed in the rain. BS had just gotten back from a work trip and a vacation, so they had had a brief lull in meetings, but are getting right back at it. BS reiterated the first two meetings that they had done- making slime as well as making cookies. The pair was good to see together, and they looked more natural than one may have expected at first given that both can be a bit more on the quiet side. MEC was able to observe the pair having good conversation, chatting, and looking like they were having an enjoyable time. This was their first meeting outside of LB's house, so overall, good to see them get out and having fun.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had three meetings, looks to be going well, MEC happy to see the engagement.</v>
          </cell>
          <cell r="E63" t="str">
            <v>Closed</v>
          </cell>
          <cell r="F63" t="str">
            <v>0032J00003PfZ6OQAV</v>
          </cell>
          <cell r="G63" t="str">
            <v>0032J00003PgoV1</v>
          </cell>
          <cell r="H63" t="str">
            <v>Washington</v>
          </cell>
          <cell r="J63">
            <v>65</v>
          </cell>
          <cell r="K63" t="str">
            <v>Tech: Research/Design</v>
          </cell>
          <cell r="M63">
            <v>43201</v>
          </cell>
          <cell r="O63" t="str">
            <v>No Preference</v>
          </cell>
          <cell r="P63" t="str">
            <v>Female</v>
          </cell>
          <cell r="Q63">
            <v>21671</v>
          </cell>
          <cell r="R63" t="str">
            <v>3M</v>
          </cell>
          <cell r="S63" t="str">
            <v>General Community</v>
          </cell>
          <cell r="T63" t="str">
            <v>Community</v>
          </cell>
          <cell r="U63" t="str">
            <v>White or Caucasian;</v>
          </cell>
          <cell r="V63" t="str">
            <v>Child/Family: Feels incompatible with volunteer</v>
          </cell>
          <cell r="W63"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63"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63" t="str">
            <v>Female</v>
          </cell>
          <cell r="BL63" t="str">
            <v>Black or African American; White or Caucasian</v>
          </cell>
          <cell r="BM63">
            <v>38869</v>
          </cell>
          <cell r="BN63">
            <v>271630703034</v>
          </cell>
          <cell r="BO63">
            <v>271630702061</v>
          </cell>
          <cell r="BQ63">
            <v>46.1</v>
          </cell>
        </row>
        <row r="64">
          <cell r="A64" t="str">
            <v>a1v2J000002uR0JQAU</v>
          </cell>
          <cell r="B64">
            <v>43202</v>
          </cell>
          <cell r="C64">
            <v>43220</v>
          </cell>
          <cell r="D64" t="str">
            <v>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actually called the match on one of their first two outings, so made a point to follow up the next week with BS. BS said things are going well from her perspective, and that the match has met up twice. MEC asked her what they have done together, and BS shared that the first time they met up, BS and Ls made cookies, and the second time that they got together, the pair made slime (the popular craft slime activity). MEC asked where they were doing these activities, and BS shared that they had done both of them at LS's house. MEC was a bit surprised to hear that, but BS stated that she felt it was good because BS and LS got to take it slow, and that they are going to go out and about for their next activity. MEC strongly encouraged this, and said that it would be great for them to get to explore the city a little. Tying that into a safety question, MEC had been told by the matching team that one of the things the pair really wanted to do was go to BS's house because she has quite a few animals (pigs, horses, chickens, even a peacock). MEC said he wanted to give a reminder that at home activities need to take place a few months into the relationship, and have prior approval from PG before they happen. BS said she was aware of this, and while they were very excited to do this as they think they will bond over it a lot, they are going to wait per BBBS rules. BS had no issue with this and promised to keep PG up to date and informed with her plans. MEC asked for other future plans, and BS said they are going to take some time to talk things over at the next meeting and really learn what BS wants to do. There may be a brief break over the first two weeks of May as BS has a business trip, as well as going to meet her new grandchild, a first for her. MEC congratulated her on this and asked BS to communicate this to PG, which she promised to do. Should be a good match, and MEC is looking for the pair to get some more outside activites planned.</v>
          </cell>
          <cell r="E64" t="str">
            <v>Closed</v>
          </cell>
          <cell r="F64" t="str">
            <v>0032J00003PfZ6OQAV</v>
          </cell>
          <cell r="G64" t="str">
            <v>0032J00003PgoV1</v>
          </cell>
          <cell r="H64" t="str">
            <v>Washington</v>
          </cell>
          <cell r="J64">
            <v>65</v>
          </cell>
          <cell r="K64" t="str">
            <v>Tech: Research/Design</v>
          </cell>
          <cell r="M64">
            <v>43201</v>
          </cell>
          <cell r="O64" t="str">
            <v>No Preference</v>
          </cell>
          <cell r="P64" t="str">
            <v>Female</v>
          </cell>
          <cell r="Q64">
            <v>21671</v>
          </cell>
          <cell r="R64" t="str">
            <v>3M</v>
          </cell>
          <cell r="S64" t="str">
            <v>General Community</v>
          </cell>
          <cell r="T64" t="str">
            <v>Community</v>
          </cell>
          <cell r="U64" t="str">
            <v>White or Caucasian;</v>
          </cell>
          <cell r="V64" t="str">
            <v>Child/Family: Feels incompatible with volunteer</v>
          </cell>
          <cell r="W64"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64"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64" t="str">
            <v>Female</v>
          </cell>
          <cell r="BL64" t="str">
            <v>Black or African American; White or Caucasian</v>
          </cell>
          <cell r="BM64">
            <v>38869</v>
          </cell>
          <cell r="BN64">
            <v>271630703034</v>
          </cell>
          <cell r="BO64">
            <v>271630702061</v>
          </cell>
          <cell r="BQ64">
            <v>46.1</v>
          </cell>
        </row>
        <row r="65">
          <cell r="A65" t="str">
            <v>a1v2J000002uR0JQAU</v>
          </cell>
          <cell r="B65">
            <v>43202</v>
          </cell>
          <cell r="C65">
            <v>43434</v>
          </cell>
          <cell r="D65" t="str">
            <v>Question: Activities:           Answer: Good check in with BS. BS aid that the main activities they have done in the past month have been going to LB's house and checking out her animals, and doing arts and crafts at LS's place. BS says things are going well and that communication is going well with PG, which is nice to hear. As always with the match, MEC gave the reminder to have proper animal safety if they are going to be near them at BS's place. MEC asked how the relationship itself was going, and BS said that it was going well and that she knew LS enjoyed their outings. MEC asked if the pair had anything else exciting going on, and BS said not too much. MEC encouraged the pair to review the newsletter and see if there was anything else they were interested in. The pair met MEC at the spring saints game and MEC said that he would be happy to run into them again. No other questions or concerns, match is low key but doing well with one another.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Low key but solid match.</v>
          </cell>
          <cell r="E65" t="str">
            <v>Closed</v>
          </cell>
          <cell r="F65" t="str">
            <v>0032J00003PfZ6OQAV</v>
          </cell>
          <cell r="G65" t="str">
            <v>0032J00003PgoV1</v>
          </cell>
          <cell r="H65" t="str">
            <v>Washington</v>
          </cell>
          <cell r="J65">
            <v>65</v>
          </cell>
          <cell r="K65" t="str">
            <v>Tech: Research/Design</v>
          </cell>
          <cell r="M65">
            <v>43201</v>
          </cell>
          <cell r="O65" t="str">
            <v>No Preference</v>
          </cell>
          <cell r="P65" t="str">
            <v>Female</v>
          </cell>
          <cell r="Q65">
            <v>21671</v>
          </cell>
          <cell r="R65" t="str">
            <v>3M</v>
          </cell>
          <cell r="S65" t="str">
            <v>General Community</v>
          </cell>
          <cell r="T65" t="str">
            <v>Community</v>
          </cell>
          <cell r="U65" t="str">
            <v>White or Caucasian;</v>
          </cell>
          <cell r="V65" t="str">
            <v>Child/Family: Feels incompatible with volunteer</v>
          </cell>
          <cell r="W65"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65"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65" t="str">
            <v>Female</v>
          </cell>
          <cell r="BL65" t="str">
            <v>Black or African American; White or Caucasian</v>
          </cell>
          <cell r="BM65">
            <v>38869</v>
          </cell>
          <cell r="BN65">
            <v>271630703034</v>
          </cell>
          <cell r="BO65">
            <v>271630702061</v>
          </cell>
          <cell r="BQ65">
            <v>46.1</v>
          </cell>
        </row>
        <row r="66">
          <cell r="A66" t="str">
            <v>a1v2J000002uR0JQAU</v>
          </cell>
          <cell r="B66">
            <v>43202</v>
          </cell>
          <cell r="C66">
            <v>43311</v>
          </cell>
          <cell r="D66" t="str">
            <v>Question: Activities:           Answer: Support form gathered at BBBS Summer Picnic. Big: What is the best memory or story you have of your Little? Seeing her riding a horse for the first time. Little: How are you a good friend to your Big? What makes your Big a good friend? I treasure every moment with B_first_name and I make every moment count she have brought me to places that I?ve never been before and she tries to make my dreams come true. Big: What changes have you seen in your Little since you were matched? We are getting to be better friends and share more stories with one another. Little: Are you attending any summer camps, classes, or activities? No Do you need a follow up from Match Engagement to address any questions regarding your match? No. Email from MEC. ?Thank you for attending the picnic! I am so glad you got to go an look forward to seeing your Match at future BBBS events. Please remember if you ever need anything, I am available through call or text at phone_number or by email at email_address. On July 25th, the BBBS Community newsletter for August will be coming out, so look out for that!?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v>
          </cell>
          <cell r="E66" t="str">
            <v>Closed</v>
          </cell>
          <cell r="F66" t="str">
            <v>0032J00003PfZ6OQAV</v>
          </cell>
          <cell r="G66" t="str">
            <v>0032J00003PgoV1</v>
          </cell>
          <cell r="H66" t="str">
            <v>Washington</v>
          </cell>
          <cell r="J66">
            <v>65</v>
          </cell>
          <cell r="K66" t="str">
            <v>Tech: Research/Design</v>
          </cell>
          <cell r="M66">
            <v>43201</v>
          </cell>
          <cell r="O66" t="str">
            <v>No Preference</v>
          </cell>
          <cell r="P66" t="str">
            <v>Female</v>
          </cell>
          <cell r="Q66">
            <v>21671</v>
          </cell>
          <cell r="R66" t="str">
            <v>3M</v>
          </cell>
          <cell r="S66" t="str">
            <v>General Community</v>
          </cell>
          <cell r="T66" t="str">
            <v>Community</v>
          </cell>
          <cell r="U66" t="str">
            <v>White or Caucasian;</v>
          </cell>
          <cell r="V66" t="str">
            <v>Child/Family: Feels incompatible with volunteer</v>
          </cell>
          <cell r="W66"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66"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66" t="str">
            <v>Female</v>
          </cell>
          <cell r="BL66" t="str">
            <v>Black or African American; White or Caucasian</v>
          </cell>
          <cell r="BM66">
            <v>38869</v>
          </cell>
          <cell r="BN66">
            <v>271630703034</v>
          </cell>
          <cell r="BO66">
            <v>271630702061</v>
          </cell>
          <cell r="BQ66">
            <v>46.1</v>
          </cell>
        </row>
        <row r="67">
          <cell r="A67" t="str">
            <v>a1v2J000002uR0JQAU</v>
          </cell>
          <cell r="B67">
            <v>43202</v>
          </cell>
          <cell r="C67">
            <v>43476</v>
          </cell>
          <cell r="E67" t="str">
            <v>Closed</v>
          </cell>
          <cell r="F67" t="str">
            <v>0032J00003PfZ6OQAV</v>
          </cell>
          <cell r="G67" t="str">
            <v>0032J00003PgoV1</v>
          </cell>
          <cell r="H67" t="str">
            <v>Washington</v>
          </cell>
          <cell r="J67">
            <v>65</v>
          </cell>
          <cell r="K67" t="str">
            <v>Tech: Research/Design</v>
          </cell>
          <cell r="M67">
            <v>43201</v>
          </cell>
          <cell r="O67" t="str">
            <v>No Preference</v>
          </cell>
          <cell r="P67" t="str">
            <v>Female</v>
          </cell>
          <cell r="Q67">
            <v>21671</v>
          </cell>
          <cell r="R67" t="str">
            <v>3M</v>
          </cell>
          <cell r="S67" t="str">
            <v>General Community</v>
          </cell>
          <cell r="T67" t="str">
            <v>Community</v>
          </cell>
          <cell r="U67" t="str">
            <v>White or Caucasian;</v>
          </cell>
          <cell r="V67" t="str">
            <v>Child/Family: Feels incompatible with volunteer</v>
          </cell>
          <cell r="W67" t="str">
            <v>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v>
          </cell>
          <cell r="Y67" t="str">
            <v>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v>
          </cell>
          <cell r="BK67" t="str">
            <v>Female</v>
          </cell>
          <cell r="BL67" t="str">
            <v>Black or African American; White or Caucasian</v>
          </cell>
          <cell r="BM67">
            <v>38869</v>
          </cell>
          <cell r="BN67">
            <v>271630703034</v>
          </cell>
          <cell r="BO67">
            <v>271630702061</v>
          </cell>
          <cell r="BQ67">
            <v>46.1</v>
          </cell>
        </row>
        <row r="68">
          <cell r="A68" t="str">
            <v>a1v2J0000027NsOQAU</v>
          </cell>
          <cell r="B68">
            <v>42817</v>
          </cell>
          <cell r="C68">
            <v>42857</v>
          </cell>
          <cell r="D68" t="str">
            <v>Question: Activities:           Answer: What did you do on your last outing? Biking Question: Child Safety:           Answer: Little: Describe one healthy and one unhealthy habit that you have: Running, eating donuts Question: Child Development:           Answer: Big: What is a short-term goal that your Little has, and how can you help them accomplish this goal? Being the coolest kid in class. I can help him with the sports. - MSC note: LB had said sports is one way to ?be cool? Question: Child/Volunteer Relationship development:           Answer: What has changed about your match relationship since your first activity together? We got to know each other more Is there something that you?d like to see BBBS plan for this coming Spring/Summer? Party, BBQ, Big Parties Question: Relationship with BBBS:           Answer: Is there something that you?d like to see BBBS plan for this coming Spring/Summer? Party, BBQ, Big Parties Question: Parent/Volunteer Concerns:           Answer: Do you need a follow up call from Match Support to address any questions regarding your match? **This form counts as your required monthly/quarterly contact with BBBS.** _____ Yes, it?s urgent _____ Yes, but it?s not urgent __X___ No Question: MSS Notes:           Answer: Match seems to be going great. LB and BB were joking with each other, and getting along well.</v>
          </cell>
          <cell r="E68" t="str">
            <v>Closed</v>
          </cell>
          <cell r="F68" t="str">
            <v>0032J00003PLeoRQAT</v>
          </cell>
          <cell r="G68" t="str">
            <v>0032J00003Ph0MT</v>
          </cell>
          <cell r="H68" t="str">
            <v>Ramsey</v>
          </cell>
          <cell r="J68">
            <v>45</v>
          </cell>
          <cell r="K68" t="str">
            <v>Military</v>
          </cell>
          <cell r="N68" t="str">
            <v>Bachelors Degree</v>
          </cell>
          <cell r="O68" t="str">
            <v>Chinese</v>
          </cell>
          <cell r="P68" t="str">
            <v>Male</v>
          </cell>
          <cell r="Q68">
            <v>29037</v>
          </cell>
          <cell r="R68" t="str">
            <v>US Army</v>
          </cell>
          <cell r="S68" t="str">
            <v>General Community</v>
          </cell>
          <cell r="T68" t="str">
            <v>Community</v>
          </cell>
          <cell r="U68" t="str">
            <v>Asian;</v>
          </cell>
          <cell r="V68" t="str">
            <v>Volunteer: Moved</v>
          </cell>
          <cell r="X68">
            <v>43007</v>
          </cell>
          <cell r="BK68" t="str">
            <v>Male</v>
          </cell>
          <cell r="BL68" t="str">
            <v>Black or African American; White or Caucasian</v>
          </cell>
          <cell r="BM68">
            <v>39083</v>
          </cell>
          <cell r="BN68">
            <v>270030508182</v>
          </cell>
          <cell r="BO68">
            <v>271230413024</v>
          </cell>
          <cell r="BQ68">
            <v>6.2</v>
          </cell>
        </row>
        <row r="69">
          <cell r="A69" t="str">
            <v>a1v2J0000027NsOQAU</v>
          </cell>
          <cell r="B69">
            <v>42817</v>
          </cell>
          <cell r="C69">
            <v>42835</v>
          </cell>
          <cell r="D69" t="str">
            <v>Question: Activities:           Answer: MSC asked what they've been up to so far. BB said he went to LB's bball game. BB said their second time out BB ended up hanging out with LB and some of his friends that he had invited over. BB said he usually lets LB choose the activity, so if that's what LB wants to do, that's fine with BB. MSC asked what they did. BB said skate board, biked around. Question: Child Safety:           Answer: MSC explained the 1:1 policy with BB. MSC let BB know if LB brings something like that up again to let LB know Louie from BBBS let BB know they are to spend time together 1:1. MSC discussed exceptions to the rule. BB understood. Question: Child Development:           Answer: MSC encouraged P to stay in communication with P on how LB is doing with school and in general, so that BB can mentor and advise LB accordingly. Question: Child/Volunteer Relationship development:           Answer: MSC asked how the match is going. BB said so far it has been great. BB said if he can say, this P is a lot nicer. Question: Relationship with BBBS:           Answer: MSC promotes lake days program. MSC emailed BB: Hey B_first_name, Nice catching up today! Below you'll find the info on April's Lake Days outing. Health Club - Lake Days (Monthly through September) Who: All ages are welcome Date/Time: Saturday, April 29, 2017. Check in @ 10:30 We will be hitting a different lake each month to get active and enjoy the summer! You choose your activity! Healthy snack provided Health Club - Lake Days! Registration is open now. Question: Parent/Volunteer Concerns:           Answer: MSC asked BB if he has any questions or concerns. BB did not. Question: MSS Notes:           Answer: Match seems to be off to a good start. MSC will reiterate 1:1 policy to P.</v>
          </cell>
          <cell r="E69" t="str">
            <v>Closed</v>
          </cell>
          <cell r="F69" t="str">
            <v>0032J00003PLeoRQAT</v>
          </cell>
          <cell r="G69" t="str">
            <v>0032J00003Ph0MT</v>
          </cell>
          <cell r="H69" t="str">
            <v>Ramsey</v>
          </cell>
          <cell r="J69">
            <v>45</v>
          </cell>
          <cell r="K69" t="str">
            <v>Military</v>
          </cell>
          <cell r="N69" t="str">
            <v>Bachelors Degree</v>
          </cell>
          <cell r="O69" t="str">
            <v>Chinese</v>
          </cell>
          <cell r="P69" t="str">
            <v>Male</v>
          </cell>
          <cell r="Q69">
            <v>29037</v>
          </cell>
          <cell r="R69" t="str">
            <v>US Army</v>
          </cell>
          <cell r="S69" t="str">
            <v>General Community</v>
          </cell>
          <cell r="T69" t="str">
            <v>Community</v>
          </cell>
          <cell r="U69" t="str">
            <v>Asian;</v>
          </cell>
          <cell r="V69" t="str">
            <v>Volunteer: Moved</v>
          </cell>
          <cell r="X69">
            <v>43007</v>
          </cell>
          <cell r="BK69" t="str">
            <v>Male</v>
          </cell>
          <cell r="BL69" t="str">
            <v>Black or African American; White or Caucasian</v>
          </cell>
          <cell r="BM69">
            <v>39083</v>
          </cell>
          <cell r="BN69">
            <v>270030508182</v>
          </cell>
          <cell r="BO69">
            <v>271230413024</v>
          </cell>
          <cell r="BQ69">
            <v>6.2</v>
          </cell>
        </row>
        <row r="70">
          <cell r="A70" t="str">
            <v>a1v2J0000027NsOQAU</v>
          </cell>
          <cell r="B70">
            <v>42817</v>
          </cell>
          <cell r="C70">
            <v>42969</v>
          </cell>
          <cell r="D70" t="str">
            <v>Question: Activities:           Answer: 1. How many match activities have you done together this summer, not including today? (circle your answer) a. two-three Question: Child Safety:           Answer: 2. Do you ever include family or friends on your match activities (besides the summer picnic today)? a. Yes, explain: this one Question: Child Development:           Answer: 3. What kinds of goals would you (LITTLE) like to accomplish with your Big this summer? (Circle 1-2 goals) a. Try something new that you have never tried by the end of summer b. Pick an arts and crafts project and complete it by the end of summer c. Go to the library, check out a book, and read it together before school starts d. X Do more outdoor activities like swimming, fishing, bike riding, playing a sport e. Other, for example_______________________________________________ Question: Child/Volunteer Relationship development:           Answer: 4. How does your match (BIG/LITTLE) show appreciation to one another? (circle all that apply) a. Saying please and thank you b. Hugs c. X High fives, fist bumps d. Doing something thoughtful e. Other, explain:_________________________________ Question: Relationship with BBBS:           Answer: 5. Do you need a follow up call from your Match Support Coordinator with any questions or concerns regarding your match? a. No 6. Are you willing to be contacted by BBBS to help recruit BIGS in your community? Y or N Question: Parent/Volunteer Concerns:           Answer: na Question: Other Comments-List progress/activities in school and in JJ System:           Answer: na Question: MSS Notes:           Answer: Match filled out support form @ BBBS Summer Picnic on Saturday, July 29, 2017 MSC got to speak with P, LB and BB. Doing well. P supportive.</v>
          </cell>
          <cell r="E70" t="str">
            <v>Closed</v>
          </cell>
          <cell r="F70" t="str">
            <v>0032J00003PLeoRQAT</v>
          </cell>
          <cell r="G70" t="str">
            <v>0032J00003Ph0MT</v>
          </cell>
          <cell r="H70" t="str">
            <v>Ramsey</v>
          </cell>
          <cell r="J70">
            <v>45</v>
          </cell>
          <cell r="K70" t="str">
            <v>Military</v>
          </cell>
          <cell r="N70" t="str">
            <v>Bachelors Degree</v>
          </cell>
          <cell r="O70" t="str">
            <v>Chinese</v>
          </cell>
          <cell r="P70" t="str">
            <v>Male</v>
          </cell>
          <cell r="Q70">
            <v>29037</v>
          </cell>
          <cell r="R70" t="str">
            <v>US Army</v>
          </cell>
          <cell r="S70" t="str">
            <v>General Community</v>
          </cell>
          <cell r="T70" t="str">
            <v>Community</v>
          </cell>
          <cell r="U70" t="str">
            <v>Asian;</v>
          </cell>
          <cell r="V70" t="str">
            <v>Volunteer: Moved</v>
          </cell>
          <cell r="X70">
            <v>43007</v>
          </cell>
          <cell r="BK70" t="str">
            <v>Male</v>
          </cell>
          <cell r="BL70" t="str">
            <v>Black or African American; White or Caucasian</v>
          </cell>
          <cell r="BM70">
            <v>39083</v>
          </cell>
          <cell r="BN70">
            <v>270030508182</v>
          </cell>
          <cell r="BO70">
            <v>271230413024</v>
          </cell>
          <cell r="BQ70">
            <v>6.2</v>
          </cell>
        </row>
        <row r="71">
          <cell r="A71" t="str">
            <v>a1v2J0000027NsOQAU</v>
          </cell>
          <cell r="B71">
            <v>42817</v>
          </cell>
          <cell r="C71">
            <v>42938</v>
          </cell>
          <cell r="D71" t="str">
            <v>Question: Activities:           Answer: na Question: Child Safety:           Answer: na Question: Child Development:           Answer: na Question: Child/Volunteer Relationship development:           Answer: na Question: Relationship with BBBS:           Answer: MSC conducted 3 month SOR. BB positive about the friendship. BB said they are still in the getting to know each other stage, but said they are having a good time. Question: Parent/Volunteer Concerns:           Answer: na Question: Other Comments-List progress/activities in school and in JJ System:           Answer: na Question: MSS Notes:           Answer: MSC conducted 3 month SOR. BB positive about the friendship. BB said they are still in the getting to know each other stage, but said they are having a good time.</v>
          </cell>
          <cell r="E71" t="str">
            <v>Closed</v>
          </cell>
          <cell r="F71" t="str">
            <v>0032J00003PLeoRQAT</v>
          </cell>
          <cell r="G71" t="str">
            <v>0032J00003Ph0MT</v>
          </cell>
          <cell r="H71" t="str">
            <v>Ramsey</v>
          </cell>
          <cell r="J71">
            <v>45</v>
          </cell>
          <cell r="K71" t="str">
            <v>Military</v>
          </cell>
          <cell r="N71" t="str">
            <v>Bachelors Degree</v>
          </cell>
          <cell r="O71" t="str">
            <v>Chinese</v>
          </cell>
          <cell r="P71" t="str">
            <v>Male</v>
          </cell>
          <cell r="Q71">
            <v>29037</v>
          </cell>
          <cell r="R71" t="str">
            <v>US Army</v>
          </cell>
          <cell r="S71" t="str">
            <v>General Community</v>
          </cell>
          <cell r="T71" t="str">
            <v>Community</v>
          </cell>
          <cell r="U71" t="str">
            <v>Asian;</v>
          </cell>
          <cell r="V71" t="str">
            <v>Volunteer: Moved</v>
          </cell>
          <cell r="X71">
            <v>43007</v>
          </cell>
          <cell r="BK71" t="str">
            <v>Male</v>
          </cell>
          <cell r="BL71" t="str">
            <v>Black or African American; White or Caucasian</v>
          </cell>
          <cell r="BM71">
            <v>39083</v>
          </cell>
          <cell r="BN71">
            <v>270030508182</v>
          </cell>
          <cell r="BO71">
            <v>271230413024</v>
          </cell>
          <cell r="BQ71">
            <v>6.2</v>
          </cell>
        </row>
        <row r="72">
          <cell r="A72" t="str">
            <v>a1v2J0000027NsOQAU</v>
          </cell>
          <cell r="B72">
            <v>42817</v>
          </cell>
          <cell r="C72">
            <v>42895</v>
          </cell>
          <cell r="E72" t="str">
            <v>Closed</v>
          </cell>
          <cell r="F72" t="str">
            <v>0032J00003PLeoRQAT</v>
          </cell>
          <cell r="G72" t="str">
            <v>0032J00003Ph0MT</v>
          </cell>
          <cell r="H72" t="str">
            <v>Ramsey</v>
          </cell>
          <cell r="J72">
            <v>45</v>
          </cell>
          <cell r="K72" t="str">
            <v>Military</v>
          </cell>
          <cell r="N72" t="str">
            <v>Bachelors Degree</v>
          </cell>
          <cell r="O72" t="str">
            <v>Chinese</v>
          </cell>
          <cell r="P72" t="str">
            <v>Male</v>
          </cell>
          <cell r="Q72">
            <v>29037</v>
          </cell>
          <cell r="R72" t="str">
            <v>US Army</v>
          </cell>
          <cell r="S72" t="str">
            <v>General Community</v>
          </cell>
          <cell r="T72" t="str">
            <v>Community</v>
          </cell>
          <cell r="U72" t="str">
            <v>Asian;</v>
          </cell>
          <cell r="V72" t="str">
            <v>Volunteer: Moved</v>
          </cell>
          <cell r="X72">
            <v>43007</v>
          </cell>
          <cell r="BK72" t="str">
            <v>Male</v>
          </cell>
          <cell r="BL72" t="str">
            <v>Black or African American; White or Caucasian</v>
          </cell>
          <cell r="BM72">
            <v>39083</v>
          </cell>
          <cell r="BN72">
            <v>270030508182</v>
          </cell>
          <cell r="BO72">
            <v>271230413024</v>
          </cell>
          <cell r="BQ72">
            <v>6.2</v>
          </cell>
        </row>
        <row r="73">
          <cell r="A73" t="str">
            <v>a1v2J0000027NsOQAU</v>
          </cell>
          <cell r="B73">
            <v>42817</v>
          </cell>
          <cell r="C73">
            <v>43007</v>
          </cell>
          <cell r="E73" t="str">
            <v>Closed</v>
          </cell>
          <cell r="F73" t="str">
            <v>0032J00003PLeoRQAT</v>
          </cell>
          <cell r="G73" t="str">
            <v>0032J00003Ph0MT</v>
          </cell>
          <cell r="H73" t="str">
            <v>Ramsey</v>
          </cell>
          <cell r="J73">
            <v>45</v>
          </cell>
          <cell r="K73" t="str">
            <v>Military</v>
          </cell>
          <cell r="N73" t="str">
            <v>Bachelors Degree</v>
          </cell>
          <cell r="O73" t="str">
            <v>Chinese</v>
          </cell>
          <cell r="P73" t="str">
            <v>Male</v>
          </cell>
          <cell r="Q73">
            <v>29037</v>
          </cell>
          <cell r="R73" t="str">
            <v>US Army</v>
          </cell>
          <cell r="S73" t="str">
            <v>General Community</v>
          </cell>
          <cell r="T73" t="str">
            <v>Community</v>
          </cell>
          <cell r="U73" t="str">
            <v>Asian;</v>
          </cell>
          <cell r="V73" t="str">
            <v>Volunteer: Moved</v>
          </cell>
          <cell r="X73">
            <v>43007</v>
          </cell>
          <cell r="BK73" t="str">
            <v>Male</v>
          </cell>
          <cell r="BL73" t="str">
            <v>Black or African American; White or Caucasian</v>
          </cell>
          <cell r="BM73">
            <v>39083</v>
          </cell>
          <cell r="BN73">
            <v>270030508182</v>
          </cell>
          <cell r="BO73">
            <v>271230413024</v>
          </cell>
          <cell r="BQ73">
            <v>6.2</v>
          </cell>
        </row>
        <row r="74">
          <cell r="A74" t="str">
            <v>a1v2J0000039UeRQAU</v>
          </cell>
          <cell r="B74">
            <v>43818</v>
          </cell>
          <cell r="C74">
            <v>44203</v>
          </cell>
          <cell r="D74" t="str">
            <v>MEC reached out to B_first_name multiple times: Happy Holidays To You! One last push to have a lite check in!     How?s your match going / Share what you?ve been up to..   Do you have any questions or concerns?  I wanted to share that our in person meeting guidelines were updated last week after the Governor?s announcement. It's up to each match to discuss their preferences around meeting up in person. Here is the link:   Dec 16, 2020 Updated COVID In Person Meeting Guidelines  .  https://www.bigstwincities.org/updates-to-covid-19-in-person-mentoring-guidelines/   Winter Activity List:  https://www.bigstwincities.org/winter-match-activity-ideas/   Please reach out as needed. Happy Holidays! Be well and take care, Jeanna JEANNA VAZQUEZ Sr. Match Engagement Coordinator Big Brothers Big Sisters Twin Cities email_address SIERRA RESPONDED TO MEC: Jeanna, Happy Holidays to you as well! I am sorry that I did not reach out to you it just has been a crazy few weeks and I glossed over it in my emails. To respond to your check in:  I think our match is going great (for the circumstances that we have been challenged with this year). Like I mentioned at that last check in L_first_name just got a phone so I have been reaching out though via text and asking her about school, holiday plans, along with other things. I also have touched base with Cheryl to see how things are going. With myself having COVID at the end of Nov./beginning of Dec. we were wanting to push back in person meetings just because up until this week I was showing symptoms and I just would rather be safe than sorry.  I have one question to you and I do not know if Cheryl reached out to you because she was not sure when I last touched in with her but I did get accepted to medical school and I will be moving to CO come May/June. I do not have a set date yet for me moving but I wasn't really sure what our next steps would be moving forward. Again--this would probably depend on what Cheryl &amp; L_first_name would like to do but I do not really know how to go about it. I still want to be L_first_name's big and want to be that mentor for her as long as I can but I understand as well if she was wanting to try to be matched with someone else. I do not know what Cheryl's plan is but we just both thought to as you and see what you think would be best.  I appreciate all of your help and feedback. I hope you have a great holiday and stay safe!  Best, B_first_name B_last_name MEC RESPONDED VIA EMAIL: ? Hello B_first_name, Thank you for responding to my email. I have been out of the office for a bit so it has taken me a little while to get back. I appreciate your communication with Cheryl &amp; I regarding the move. Congratulations on being accepted to Medical School! That is so exciting, but I imagine you're feeling a little nervous as well! A few things to consider. If your match closes, any contact would no longer be through BBBS but it would be up to you how you'd like to go about staying connected if you chose to.  It is certainly an option to stay matched if you think you'll be able to maintain some level of contact virtually while you are away. (I imagine that may be difficult but I have had Bigs in medical school before.  It is not a 100% that L_first_name would get a new Big Sister.  I think it's pretty likely though.  What does L_first_name want? Have you discussed it with her yet? How I can help. If you choose to stay matched but want to "Redefine" your match, I encourage you to check out this resource I made.  Redefining Your Match . Redefinition is a positive &amp; mutually agreed upon process that can help Bigs &amp; Littles/Families strengthen &amp; build their relationships. It can take on two forms. Rejuvenation - Recommitting without changing the terms.   Renegotiation - Changing the responsibilities or terms in some way.  I encourage you to discuss with L_first_name and give her some options that you think are realistic and feasible for you. You can also ask Cheryl to talk to her. The two of you can decide together what approach you would like to take. I can also talk to her if you'd like. I wanted to share that our in person meeting guidelines were updated last week after the Governor?s announcement.  It's up to each match to discuss their preferences around meeting up in person. Here is the link:   Dec 16, 2020 Updated COVID In Person Meeting Guidelines . https://www.bigstwincities.org/updates-to-covid-19-in-person-mentoring-guidelines/     Winter Activity List: https://www.bigstwincities.org/winter-match-activity-ideas/   Please reach out as needed.  Happy New Year &amp; National Mentoring Month! PLEASE NOTE: My work cell phone number has changed.  It is now phone_number Please let me know if you have any other questions and please keep me posted.   Thank you!</v>
          </cell>
          <cell r="E74" t="str">
            <v>Closed</v>
          </cell>
          <cell r="F74" t="str">
            <v>0032J00003VeNqZQAV</v>
          </cell>
          <cell r="G74" t="str">
            <v>0032J00003UpZ4K</v>
          </cell>
          <cell r="J74">
            <v>29</v>
          </cell>
          <cell r="K74" t="str">
            <v>Medical: Healthcare Worker</v>
          </cell>
          <cell r="L74" t="str">
            <v>No</v>
          </cell>
          <cell r="M74">
            <v>43795</v>
          </cell>
          <cell r="P74" t="str">
            <v>Female</v>
          </cell>
          <cell r="Q74">
            <v>35004</v>
          </cell>
          <cell r="R74" t="str">
            <v>U of MN Masonic Childrens Hospital</v>
          </cell>
          <cell r="S74" t="str">
            <v>General Community</v>
          </cell>
          <cell r="T74" t="str">
            <v>Community</v>
          </cell>
          <cell r="U74" t="str">
            <v>White or Caucasian;</v>
          </cell>
          <cell r="V74" t="str">
            <v>Volunteer: Moved</v>
          </cell>
          <cell r="W74" t="str">
            <v>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v>
          </cell>
          <cell r="Y74" t="str">
            <v>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v>
          </cell>
          <cell r="AT74">
            <v>0</v>
          </cell>
          <cell r="AU74">
            <v>1</v>
          </cell>
          <cell r="AV74">
            <v>44334</v>
          </cell>
          <cell r="AX74">
            <v>44375</v>
          </cell>
          <cell r="AY74">
            <v>44376</v>
          </cell>
          <cell r="BK74" t="str">
            <v>Female</v>
          </cell>
          <cell r="BL74" t="str">
            <v>Black or African American</v>
          </cell>
          <cell r="BM74">
            <v>39873</v>
          </cell>
          <cell r="BN74">
            <v>270530121011</v>
          </cell>
          <cell r="BO74">
            <v>270531065001</v>
          </cell>
          <cell r="BQ74">
            <v>16.899999999999999</v>
          </cell>
        </row>
        <row r="75">
          <cell r="A75" t="str">
            <v>a1v2J0000039UeRQAU</v>
          </cell>
          <cell r="B75">
            <v>43818</v>
          </cell>
          <cell r="C75">
            <v>44278</v>
          </cell>
          <cell r="D75" t="str">
            <v>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B_first_name emailed MEC: Good Afternoon Jeanna, I know I emailed you a few weeks or months back letting you know that I was going to be moving to CO and starting medical school in July but I just wanted to update you a little bit and ask for your opinion on things. I do not know the process on things and so I figured to start thinking about the next few months sooner rather than later. I did inform Cheryl in Dec. that I would be moving and we did discuss having L_first_name &amp; I staying pen pals along with staying in touch as much as we could. I did just finalize a lease in Parker CO so I will be moving to my new home on May 26th. I wanted to reach out to Cheryl to inform her on everything and touch base with what she was planning to do with L_first_name (whether that be to have her in the program applying for another big or what her thoughts were)--however L_first_name told me early last week that her mom was just getting back from the hospital as she ended up having COVID and I did not want to really bug her while she is still resting and healing as I know how much of a toll it does take on the body. She told me she was going to reach out to you but I am not sure if she did. If L_first_name does want to be placed with another Big is there something I need to do so she is able to do that and if so is it Cheryl needing to reach out to you or will you reach out to her? I know that it does take some time to match littles and bigs and I am just thinking about the summer and how it would be nice if she does want another big to do some fun summer activities as it has been a whirlwind of a year. I feel like I am blabbing on I just have not had to navigate this situation before and don't want it to seem like I am just walking out of L_first_name and Cheryl's life.  I look forward hearing back from you, B_first_name B_last_name MEC responded via email: Hello B_first_name, Congrats again on starting med school! I'm glad to hear things are coming into place for you and you've been able to sign your lease. Sorry to hear that L_first_name's mom has been in the hospital with COVID. It can be scary stuff. How does L_first_name seem to be coping with this? I have not talked to L_first_name or Cheryl about the move. Last I spoke with L_first_name we did the Mentoring Month ACtivity over zoom in January. Did you get that? In response to your questions about her being rematched you can tell her it might be an option and I will connect with her about this. I would like you to focus on providing some healthy closure for your match. Take some time to plan a final meeting (whether virtual or in person), talk about what you enjoyed about the match and reflect together on the time spent. Let me know when you plan to finalize the closure and I will follow up about her going through a short reassessment process for a possible 2nd match. Our waitlist is fairly small so I wouldn't worry too much about her waiting although it was very thoughtful of you to consider her summer! It would be fun to get a new Big this summer. Maybe you can propose 1-2 more meetings and keep me in the loop to finalize the closure and advocate for a reassessment for her.   I hope that helps. Please let me know if you have any other questions. Thank you for your continued support of L_first_name! Jeanna</v>
          </cell>
          <cell r="E75" t="str">
            <v>Closed</v>
          </cell>
          <cell r="F75" t="str">
            <v>0032J00003VeNqZQAV</v>
          </cell>
          <cell r="G75" t="str">
            <v>0032J00003UpZ4K</v>
          </cell>
          <cell r="J75">
            <v>29</v>
          </cell>
          <cell r="K75" t="str">
            <v>Medical: Healthcare Worker</v>
          </cell>
          <cell r="L75" t="str">
            <v>No</v>
          </cell>
          <cell r="M75">
            <v>43795</v>
          </cell>
          <cell r="P75" t="str">
            <v>Female</v>
          </cell>
          <cell r="Q75">
            <v>35004</v>
          </cell>
          <cell r="R75" t="str">
            <v>U of MN Masonic Childrens Hospital</v>
          </cell>
          <cell r="S75" t="str">
            <v>General Community</v>
          </cell>
          <cell r="T75" t="str">
            <v>Community</v>
          </cell>
          <cell r="U75" t="str">
            <v>White or Caucasian;</v>
          </cell>
          <cell r="V75" t="str">
            <v>Volunteer: Moved</v>
          </cell>
          <cell r="W75" t="str">
            <v>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v>
          </cell>
          <cell r="Y75" t="str">
            <v>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v>
          </cell>
          <cell r="AT75">
            <v>0</v>
          </cell>
          <cell r="AU75">
            <v>1</v>
          </cell>
          <cell r="AV75">
            <v>44334</v>
          </cell>
          <cell r="AX75">
            <v>44375</v>
          </cell>
          <cell r="AY75">
            <v>44376</v>
          </cell>
          <cell r="BK75" t="str">
            <v>Female</v>
          </cell>
          <cell r="BL75" t="str">
            <v>Black or African American</v>
          </cell>
          <cell r="BM75">
            <v>39873</v>
          </cell>
          <cell r="BN75">
            <v>270530121011</v>
          </cell>
          <cell r="BO75">
            <v>270531065001</v>
          </cell>
          <cell r="BQ75">
            <v>16.899999999999999</v>
          </cell>
        </row>
        <row r="76">
          <cell r="A76" t="str">
            <v>a1v2J0000039UeRQAU</v>
          </cell>
          <cell r="B76">
            <v>43818</v>
          </cell>
          <cell r="C76">
            <v>44159</v>
          </cell>
          <cell r="D76" t="str">
            <v>MEC reached out to ALL BIGS via email blast inviting them to attend the Virtual Bigs Hang Out. This communication linked to the November Newsletter, COVID In Person Meeting Guidelines, the BBBS Mentoring Portal and November Event registrations. MEC also included some resources for Little's families. This Big responded via google check in as follows. Timestamp 11/24/2020 10:00:05 Email Address email_address Please enter your first and last name. B_first_name B_last_name With your best guess, how many hours did you spend with your Little this last month through video call, text, or phone conversation? 1-2 With your best guess, how many hours did you spend with your Little this last month through in person meetings? We did not meet in person last month. Every match is unique in it's strengths &amp; challenges. Do your best to implement the following tips for a video call with your Little. (Check off the tips if you think the tip has worked or might work for your match). If you haven't tried a video call yet, please try to develop that ability. Most kids need to do 20-30 minutes of daily reading. Is there a book you can read together?, Find our what your Little's academic needs are. Would they like help with an assignment?, Mail your Little a follow note &amp; small item that relates to your activity conversation Which of these characteristics do you find yourself incorporating the most in your match? How do you balance challenging growth with expressing care, sharing power, expanding possibilities, and providing support? I think I incorporate stretch the most in my match. Throughout my interactions with my little I am always trying to push her to think along with reflect a little deeper in what I am asking or in her responses. I always do my best to let L_first_name know that I care about her and that if she ever needs anything that I am always available to listen and be there for her. BBBS has, on many occasions, communicated our In Person Meeting Safety Guidelines that are also located in our Big Blog. Below are some highlights! Meeting in person is NOT required. Please check off the guidelines as you read them. I know where to check the blog at Bigstwincities.org, I have access to updates via the Big App Is there anything you would like more guidance or ideas from your Match Engagement Coordinator about? As of now--no! Thank you! This form will count as your monthly support check in. If you would like to schedule a follow up phone conversation, please use this link to schedule a call- (https://bbbsgtc.as.me/JV) MEC responded via email to B_first_name, "Hello B_first_name, Thank you for completing the online check in. I just reviewed your responses and am glad to hear of your continued connection with L_first_name. Stretching L_first_name while expressing care and being consistent in her life is an important combination in the developmental relationships. Thank you for the thoughtfulness in your connection with her! I see you know where to find the updates regarding activities. Please feel free to reach out as needed and I wish you a very happy holidays. Jeanna"</v>
          </cell>
          <cell r="E76" t="str">
            <v>Closed</v>
          </cell>
          <cell r="F76" t="str">
            <v>0032J00003VeNqZQAV</v>
          </cell>
          <cell r="G76" t="str">
            <v>0032J00003UpZ4K</v>
          </cell>
          <cell r="J76">
            <v>29</v>
          </cell>
          <cell r="K76" t="str">
            <v>Medical: Healthcare Worker</v>
          </cell>
          <cell r="L76" t="str">
            <v>No</v>
          </cell>
          <cell r="M76">
            <v>43795</v>
          </cell>
          <cell r="P76" t="str">
            <v>Female</v>
          </cell>
          <cell r="Q76">
            <v>35004</v>
          </cell>
          <cell r="R76" t="str">
            <v>U of MN Masonic Childrens Hospital</v>
          </cell>
          <cell r="S76" t="str">
            <v>General Community</v>
          </cell>
          <cell r="T76" t="str">
            <v>Community</v>
          </cell>
          <cell r="U76" t="str">
            <v>White or Caucasian;</v>
          </cell>
          <cell r="V76" t="str">
            <v>Volunteer: Moved</v>
          </cell>
          <cell r="W76" t="str">
            <v>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v>
          </cell>
          <cell r="Y76" t="str">
            <v>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v>
          </cell>
          <cell r="AT76">
            <v>0</v>
          </cell>
          <cell r="AU76">
            <v>1</v>
          </cell>
          <cell r="AV76">
            <v>44334</v>
          </cell>
          <cell r="AX76">
            <v>44375</v>
          </cell>
          <cell r="AY76">
            <v>44376</v>
          </cell>
          <cell r="BK76" t="str">
            <v>Female</v>
          </cell>
          <cell r="BL76" t="str">
            <v>Black or African American</v>
          </cell>
          <cell r="BM76">
            <v>39873</v>
          </cell>
          <cell r="BN76">
            <v>270530121011</v>
          </cell>
          <cell r="BO76">
            <v>270531065001</v>
          </cell>
          <cell r="BQ76">
            <v>16.899999999999999</v>
          </cell>
        </row>
        <row r="77">
          <cell r="A77" t="str">
            <v>a1v2J0000039UeRQAU</v>
          </cell>
          <cell r="B77">
            <v>43818</v>
          </cell>
          <cell r="C77">
            <v>44131</v>
          </cell>
          <cell r="D77" t="str">
            <v>MEC reached out to Bigs with a mass email outlining the revised in person meeting policy during COVID times. This revision included riding in vehicles together and the precautions outlined to do so. MEC also connected matches to a variety of activity ideas form the BBBS Newsletter, the Match Portal and the BBBS Blog. MEC requested a check in either via google form, schedule a time via acuity or give MEC a call. B_first_name responded via the online check in. Timestamp 10/19/2020 18:51:11 Email Address email_address Please enter your first and last name. B_first_name B_last_name With your best guess, how many hours did you spend with your Little this last month? (either virtually or in person) We did not meet Share some examples of what your match has enjoyed doing virtually with one another. (If your match is not meeting virtually, please simply state that) We have not met virtually. I have offered to meet via FaceTime, however, have not been able to plan/get a time that would work as my little does not have a phone and she would need to use her moms. Which of these characteristics do you find yourself incorporating the most in your match? How do you personally model expressing care when you?re with your Little? I believe that when interacting with my match I am warm along with genuinely listening to L_first_name. I frequently ask her about things she has mentioned to me previously and see how these things went (sleepovers with friends, activities with school, and sports). I also encourage her with things that I learn she has done or accomplished and do my best to make her feel valued. How does your Little express care in the relationship? Is their approach different than your own? My little is young (6th grade) and with this relationship she is very shy at first, however, I feel like her personality is very warm. She is a bubbly 6th grader who goes with the flow and our conversations vary time to time but she does listen and shows she is listening by responding or non verbal cues which make me feel heard. Our In Person Meeting Guidelines (due to COVID) have changed recently. A more formal communication &amp; resources has been emailed to all participants. You may review the guidelines on our website - https://www.bigstwincities.org/2020/09/24/updates-to-covid-19-in-person-mentoring-guidelines/. Do you have any questions or concerns? How do you see this impacting your match? It might be a little challenging with it starting to become cold and having all of the windows down for me driving her (however I am not opposed). I know L_first_name's mom is very busy and has another younger son so it might be hard if she had to drop L_first_name off places, however, this is something that Cheryl and I can discuss further. Mentoring can be hard work! Is there any way I can help make your match more successful? It has been a little challenging to connect (whether that be virtually or in person) and I believe Cheryl has a lot going on right now so I do not want to make this an added stress. I would like to maybe suggest other virtual ideas but do not really have any things in mind. Any suggestions would be great help as I don't really know of any activities we can do other than FaceTime and sometimes it is hard to keep L_first_name engaged in a conversation. This form will count as your monthly support check in. If you would like to schedule a follow up phone conversation, please use this link to schedule a call- (https://bbbsgtc.as.me/JV) Thank you! MEC responded to B_first_name via email, "Hello B_first_name, Thanks for the update on your match that you submitted using the online check ins. I'm sorry to hear that it's been difficult to schedule a time with L_first_name. I realize that matches struggle a bit more when they have to use a parent phone for your check ins. Do you think it's an option to use her school device? Sometimes it's' work, but it depends. I'm guessing she likely has one, but not sure. In response to your questions regarding Virtual Match Activities, please make sure to review the newsletter that you should be getting at the beginning of each month. There are always a lot of activity ideas in there. If you haven't seen the newsletter, I encourage you to check your "promotions" or spam mail. It's likely there somewhere! Also, we have a BBBS Virtual Mentoring Portal that you can access from our main website bigstwincities.org under the "Bigs Only" tab you'll see a drop down menu and a virtual mentoring option. Click on this and it will take you to a new google site we create for virtual mentoring. I hope this helps! Let me know if you have any other questions and keep in touch as able. Thanks, Jeanna"</v>
          </cell>
          <cell r="E77" t="str">
            <v>Closed</v>
          </cell>
          <cell r="F77" t="str">
            <v>0032J00003VeNqZQAV</v>
          </cell>
          <cell r="G77" t="str">
            <v>0032J00003UpZ4K</v>
          </cell>
          <cell r="J77">
            <v>29</v>
          </cell>
          <cell r="K77" t="str">
            <v>Medical: Healthcare Worker</v>
          </cell>
          <cell r="L77" t="str">
            <v>No</v>
          </cell>
          <cell r="M77">
            <v>43795</v>
          </cell>
          <cell r="P77" t="str">
            <v>Female</v>
          </cell>
          <cell r="Q77">
            <v>35004</v>
          </cell>
          <cell r="R77" t="str">
            <v>U of MN Masonic Childrens Hospital</v>
          </cell>
          <cell r="S77" t="str">
            <v>General Community</v>
          </cell>
          <cell r="T77" t="str">
            <v>Community</v>
          </cell>
          <cell r="U77" t="str">
            <v>White or Caucasian;</v>
          </cell>
          <cell r="V77" t="str">
            <v>Volunteer: Moved</v>
          </cell>
          <cell r="W77" t="str">
            <v>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v>
          </cell>
          <cell r="Y77" t="str">
            <v>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v>
          </cell>
          <cell r="AT77">
            <v>0</v>
          </cell>
          <cell r="AU77">
            <v>1</v>
          </cell>
          <cell r="AV77">
            <v>44334</v>
          </cell>
          <cell r="AX77">
            <v>44375</v>
          </cell>
          <cell r="AY77">
            <v>44376</v>
          </cell>
          <cell r="BK77" t="str">
            <v>Female</v>
          </cell>
          <cell r="BL77" t="str">
            <v>Black or African American</v>
          </cell>
          <cell r="BM77">
            <v>39873</v>
          </cell>
          <cell r="BN77">
            <v>270530121011</v>
          </cell>
          <cell r="BO77">
            <v>270531065001</v>
          </cell>
          <cell r="BQ77">
            <v>16.899999999999999</v>
          </cell>
        </row>
        <row r="78">
          <cell r="A78" t="str">
            <v>a1v2J0000039UeRQAU</v>
          </cell>
          <cell r="B78">
            <v>43818</v>
          </cell>
          <cell r="C78">
            <v>44095</v>
          </cell>
          <cell r="D78" t="str">
            <v>MEC reached out via email sharing BBBS News, BBBS Match Portal Activity highlights, and the in person meeting guidelines. MEC provided the option to check in electronically or via phone. B_first_name completed the google form check in online. See below responses: Timestamp 9/20/2020 15:47:12 Email Address email_address Please enter your first and last name. B_first_name B_last_name Share some examples of what your match has enjoyed doing virtually with one another. (If your match is not meeting virtually, please simply state that) We have not met "virtually" yet. What are the components of your culture that are most important to you? How might these play a role in your match relationship? I believe religion and education are the components of culture that are the most important for myself. I have never discussed religious beliefs with my little, however, I do know her and her family go to church and have bible studies that L_first_name attends. Having this similar upbringing with my own family allows me to understand the importance that these bible groups play on her development and her beliefs. Mentoring can be hard work! Is there any way I can help make your match more successful? At this point no! This form will count as your monthly support check in. If you would like to schedule a follow up phone conversation, please use this link to schedule a call- (https://bbbsgtc.as.me/JV) Thank you.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have went for a walk around her neighborhood. MEC responded via email, "Hello B_first_name, Thank you for checking in. I hope all is well in Sartell with your sister. Is there something I can do to help you get connected virtually? We have put together some 2 minute videos to help support matches. Virtual Meeting Basics for Bigs: https://vimeo.com/417242859 Staying Connected Virtually https://vimeo.com/417631280 Please let me know if you have any questions or concerns. Thanks, Jeanna"</v>
          </cell>
          <cell r="E78" t="str">
            <v>Closed</v>
          </cell>
          <cell r="F78" t="str">
            <v>0032J00003VeNqZQAV</v>
          </cell>
          <cell r="G78" t="str">
            <v>0032J00003UpZ4K</v>
          </cell>
          <cell r="J78">
            <v>29</v>
          </cell>
          <cell r="K78" t="str">
            <v>Medical: Healthcare Worker</v>
          </cell>
          <cell r="L78" t="str">
            <v>No</v>
          </cell>
          <cell r="M78">
            <v>43795</v>
          </cell>
          <cell r="P78" t="str">
            <v>Female</v>
          </cell>
          <cell r="Q78">
            <v>35004</v>
          </cell>
          <cell r="R78" t="str">
            <v>U of MN Masonic Childrens Hospital</v>
          </cell>
          <cell r="S78" t="str">
            <v>General Community</v>
          </cell>
          <cell r="T78" t="str">
            <v>Community</v>
          </cell>
          <cell r="U78" t="str">
            <v>White or Caucasian;</v>
          </cell>
          <cell r="V78" t="str">
            <v>Volunteer: Moved</v>
          </cell>
          <cell r="W78" t="str">
            <v>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v>
          </cell>
          <cell r="Y78" t="str">
            <v>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v>
          </cell>
          <cell r="AT78">
            <v>0</v>
          </cell>
          <cell r="AU78">
            <v>1</v>
          </cell>
          <cell r="AV78">
            <v>44334</v>
          </cell>
          <cell r="AX78">
            <v>44375</v>
          </cell>
          <cell r="AY78">
            <v>44376</v>
          </cell>
          <cell r="BK78" t="str">
            <v>Female</v>
          </cell>
          <cell r="BL78" t="str">
            <v>Black or African American</v>
          </cell>
          <cell r="BM78">
            <v>39873</v>
          </cell>
          <cell r="BN78">
            <v>270530121011</v>
          </cell>
          <cell r="BO78">
            <v>270531065001</v>
          </cell>
          <cell r="BQ78">
            <v>16.899999999999999</v>
          </cell>
        </row>
        <row r="79">
          <cell r="A79" t="str">
            <v>a1v2J0000039UeRQAU</v>
          </cell>
          <cell r="B79">
            <v>43818</v>
          </cell>
          <cell r="C79">
            <v>44053</v>
          </cell>
          <cell r="D79" t="str">
            <v>MEC introduced herself as the new Match Coordinator and was able to connect with Sieirra via phone after she reviewed the email. MEC offered a variety of activity ideas/resources and encouraged her to reach out.  MEC asked for updates. She said, ?I moved. I still worked at Masonic Children?s but my hours were cut. I was living with 2 college roommates for a while and wasn?t able to stay living in the twin cities. I am now living with my sister in Sartell? MEC asked if she has been in communication with Cheryl at all. She said, ?I did tell Cheryl and was going to reach out to her again and see if we can go from there. MEC asked if they have discussed in person meetings. She said they have not. MEC reviewed the safety precautions for in person meetings during COVID. MEC asked her to sign the waiver which she agreed to do.  She noted, ?With the move and everything, I reached out to her a week or two ago. Cheryl didn?t respond. I was going to reach out again this week and see if Thursday if we can go for a walk.? B_first_name updated MEC with a text message saying they connected and plan to go for a walk on Thursday. MEC asked if she and L_first_name have been in communication at all. She said, ?We met for an outdoor in June or beginning of July. They did the drive by 5 th grade graduation. L_first_name sometimes texts me from her mom?s phone.? MEC inquired if they talked about the aftermath of George Floyd at all. She said they hadn?t but she did discuss what to do with the previous coordinator. She said he sent quite a few resources for this and encouraged her to see if L_first_name brings it up AND to connect with Cheryl about it.</v>
          </cell>
          <cell r="E79" t="str">
            <v>Closed</v>
          </cell>
          <cell r="F79" t="str">
            <v>0032J00003VeNqZQAV</v>
          </cell>
          <cell r="G79" t="str">
            <v>0032J00003UpZ4K</v>
          </cell>
          <cell r="J79">
            <v>29</v>
          </cell>
          <cell r="K79" t="str">
            <v>Medical: Healthcare Worker</v>
          </cell>
          <cell r="L79" t="str">
            <v>No</v>
          </cell>
          <cell r="M79">
            <v>43795</v>
          </cell>
          <cell r="P79" t="str">
            <v>Female</v>
          </cell>
          <cell r="Q79">
            <v>35004</v>
          </cell>
          <cell r="R79" t="str">
            <v>U of MN Masonic Childrens Hospital</v>
          </cell>
          <cell r="S79" t="str">
            <v>General Community</v>
          </cell>
          <cell r="T79" t="str">
            <v>Community</v>
          </cell>
          <cell r="U79" t="str">
            <v>White or Caucasian;</v>
          </cell>
          <cell r="V79" t="str">
            <v>Volunteer: Moved</v>
          </cell>
          <cell r="W79" t="str">
            <v>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v>
          </cell>
          <cell r="Y79" t="str">
            <v>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v>
          </cell>
          <cell r="AT79">
            <v>0</v>
          </cell>
          <cell r="AU79">
            <v>1</v>
          </cell>
          <cell r="AV79">
            <v>44334</v>
          </cell>
          <cell r="AX79">
            <v>44375</v>
          </cell>
          <cell r="AY79">
            <v>44376</v>
          </cell>
          <cell r="BK79" t="str">
            <v>Female</v>
          </cell>
          <cell r="BL79" t="str">
            <v>Black or African American</v>
          </cell>
          <cell r="BM79">
            <v>39873</v>
          </cell>
          <cell r="BN79">
            <v>270530121011</v>
          </cell>
          <cell r="BO79">
            <v>270531065001</v>
          </cell>
          <cell r="BQ79">
            <v>16.899999999999999</v>
          </cell>
        </row>
        <row r="80">
          <cell r="A80" t="str">
            <v>a1v2J0000039UeRQAU</v>
          </cell>
          <cell r="B80">
            <v>43818</v>
          </cell>
          <cell r="C80">
            <v>44042</v>
          </cell>
          <cell r="D80" t="str">
            <v>BBBS July 2020 Check In Form REFLECT &amp; SHARE: Please provide a brief update of your match. What activities (virtual or in-person) have you been doing? Please describe any recent highlights or challenges?  * Since the last time we chatted?I was able to see her for her drive by 5th grade graduation party (I cannot remember when as the weeks blurr together). I have not been in contact recently but wanted to give an update on my living situation but I did want to hear back from you to make sure everything is still good to go. Like I mentioned before?I had to move kind of last minute because of everything happening and financial reasons I was able to find an apartment that fit where I was and my hours at work were being cut so I didn?t want to get an apartment I may not be able to afford months from now. With that being said I still am coming to the cities to work every other weekend and am staying at a friends house during this time and still will be able to plan meet ups with L_first_name. Like I said I didn?t tell her yet or Cheryl just because I wanted to make sure this was still OK. Whether you've been meeting up with your Little in person or virtually, please describe how your conversations have been going recently. What do you usually talk about? Has there been any significant change in their life, interests, or personality?  * I have not been able to reach out recently as life has been sort of crazy with moving and my sister getting COVID but I do plan too in the near future! What sort of activities have you been doing this summer (virtually or in person)? Have any ideas been particularly successful or challenging? Have you had a chance to try anything new or interesting?  * I have not been able to try anything new but I have been able to read a lot more which I enjoy! Have you had a chance to discuss a plan for safe in person meetups (now or in the future) with your Little's parent/guardian? If so, please describe. n/a Have you had any issues with communication, planning activities, or budgeting with your Little and their Parent/Guardian? If so, please describe.  * We have not been meeting up just because we were not sure about the BBBS policy as we had the initial email to suspend all meet ups but we weren?t aware we were able to get back together so I will have to reach out! COVID-19 basics from the CDC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v>
          </cell>
          <cell r="E80" t="str">
            <v>Closed</v>
          </cell>
          <cell r="F80" t="str">
            <v>0032J00003VeNqZQAV</v>
          </cell>
          <cell r="G80" t="str">
            <v>0032J00003UpZ4K</v>
          </cell>
          <cell r="J80">
            <v>29</v>
          </cell>
          <cell r="K80" t="str">
            <v>Medical: Healthcare Worker</v>
          </cell>
          <cell r="L80" t="str">
            <v>No</v>
          </cell>
          <cell r="M80">
            <v>43795</v>
          </cell>
          <cell r="P80" t="str">
            <v>Female</v>
          </cell>
          <cell r="Q80">
            <v>35004</v>
          </cell>
          <cell r="R80" t="str">
            <v>U of MN Masonic Childrens Hospital</v>
          </cell>
          <cell r="S80" t="str">
            <v>General Community</v>
          </cell>
          <cell r="T80" t="str">
            <v>Community</v>
          </cell>
          <cell r="U80" t="str">
            <v>White or Caucasian;</v>
          </cell>
          <cell r="V80" t="str">
            <v>Volunteer: Moved</v>
          </cell>
          <cell r="W80" t="str">
            <v>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v>
          </cell>
          <cell r="Y80" t="str">
            <v>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v>
          </cell>
          <cell r="AT80">
            <v>0</v>
          </cell>
          <cell r="AU80">
            <v>1</v>
          </cell>
          <cell r="AV80">
            <v>44334</v>
          </cell>
          <cell r="AX80">
            <v>44375</v>
          </cell>
          <cell r="AY80">
            <v>44376</v>
          </cell>
          <cell r="BK80" t="str">
            <v>Female</v>
          </cell>
          <cell r="BL80" t="str">
            <v>Black or African American</v>
          </cell>
          <cell r="BM80">
            <v>39873</v>
          </cell>
          <cell r="BN80">
            <v>270530121011</v>
          </cell>
          <cell r="BO80">
            <v>270531065001</v>
          </cell>
          <cell r="BQ80">
            <v>16.899999999999999</v>
          </cell>
        </row>
        <row r="81">
          <cell r="A81" t="str">
            <v>a1v2J0000039UeRQAU</v>
          </cell>
          <cell r="B81">
            <v>43818</v>
          </cell>
          <cell r="C81">
            <v>43990</v>
          </cell>
          <cell r="D81" t="str">
            <v>BS said she is doing well and the George Floyd events didn't really affect her or her friends/family. MEC encouraged BS to talk to PG about the issue so they are on the same page in providing support to LS, who may have thoughts she'd like to process or questions about what happened. BS agreed and will do so. BS wrote LS a letter and sent her a craft kit last month They've been texting back and forth since then Next, BS is planning on going to LS' surprise drive by graduation (5th grade) MEC encouraged BS to talk about transition to middle school with LS and to share some of her own positive/negative experiences. MEC informed BS of the next phase of advisement on in person meetups No other questions or concerns at this time</v>
          </cell>
          <cell r="E81" t="str">
            <v>Closed</v>
          </cell>
          <cell r="F81" t="str">
            <v>0032J00003VeNqZQAV</v>
          </cell>
          <cell r="G81" t="str">
            <v>0032J00003UpZ4K</v>
          </cell>
          <cell r="J81">
            <v>29</v>
          </cell>
          <cell r="K81" t="str">
            <v>Medical: Healthcare Worker</v>
          </cell>
          <cell r="L81" t="str">
            <v>No</v>
          </cell>
          <cell r="M81">
            <v>43795</v>
          </cell>
          <cell r="P81" t="str">
            <v>Female</v>
          </cell>
          <cell r="Q81">
            <v>35004</v>
          </cell>
          <cell r="R81" t="str">
            <v>U of MN Masonic Childrens Hospital</v>
          </cell>
          <cell r="S81" t="str">
            <v>General Community</v>
          </cell>
          <cell r="T81" t="str">
            <v>Community</v>
          </cell>
          <cell r="U81" t="str">
            <v>White or Caucasian;</v>
          </cell>
          <cell r="V81" t="str">
            <v>Volunteer: Moved</v>
          </cell>
          <cell r="W81" t="str">
            <v>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v>
          </cell>
          <cell r="Y81" t="str">
            <v>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v>
          </cell>
          <cell r="AT81">
            <v>0</v>
          </cell>
          <cell r="AU81">
            <v>1</v>
          </cell>
          <cell r="AV81">
            <v>44334</v>
          </cell>
          <cell r="AX81">
            <v>44375</v>
          </cell>
          <cell r="AY81">
            <v>44376</v>
          </cell>
          <cell r="BK81" t="str">
            <v>Female</v>
          </cell>
          <cell r="BL81" t="str">
            <v>Black or African American</v>
          </cell>
          <cell r="BM81">
            <v>39873</v>
          </cell>
          <cell r="BN81">
            <v>270530121011</v>
          </cell>
          <cell r="BO81">
            <v>270531065001</v>
          </cell>
          <cell r="BQ81">
            <v>16.899999999999999</v>
          </cell>
        </row>
        <row r="82">
          <cell r="A82" t="str">
            <v>a1v2J0000039UeRQAU</v>
          </cell>
          <cell r="B82">
            <v>43818</v>
          </cell>
          <cell r="C82">
            <v>43894</v>
          </cell>
          <cell r="D82" t="str">
            <v>BBBS March 2020 Check In Form Please provide a brief update of your match. What activities have you been doing? What's new and exciting? Have you faced any challenges? REFLECT &amp; SHARE:  * We were not able to meet up in the month of February. I was sick with a cold for over a week and then days later got the flu which led me to stay home for over a week. With being sick I did not want to expose any of L_first_name's family members along with L_first_name herself. I tried to reach out at the end of the month--however, L_first_name was going on a trip so we planned to catch up once she returns. Challenging growth focuses on the ways we encourage, inspire, push, or otherwise influence each other to try new things, take risks, pursue goals, or overcome obstacles and challenges. Successful matches use a caring and supportive approach, grounded in trust, to explore new or existing interests and maximize each other's abilities. If you're at the beginning of your relationship, it may not be the best time to push each other too hard or get too far out of each other's comfort zones. Instead, ask questions to learn more about each other's interests, abilities, and motivations. Develop trust with open and honest communication. Actions you can take: Share power in making decisions for where you go or what you do for your outings Encourage each other to try something new, develop a skill, or gain knowledge in a subject that interests you Set goals and hold each other accountable Acknowledge and celebrate the obstacles or challenges each of you have overcome Based on the description above, how do you challenge your Little to grow? Share a specific example if you can.  * With L_first_name and I only knowing each other for a couple of months-- I do not push her too far out of her comfort zone. If she does not feel comfortable to share, I usually tell her its okay if she doesn't want to share and direct her to a different topic/question. How has your Little challenged you to grow? Share a specific example if you can.  * She has challenged me in a different way. I am the type of individual who likes to push people to go outside of their comfort zones, along with to be the best person they can be and to take jumps and leaps. L_first_name is only 10 and while she has opened up to me, she is more of a reserve individual which has challenged me to take a step back and to find other ways I can help her grow as an individual without being too "pushy". Please describe any recent significant changes in the lives of your Little and their family (moving, new phone #, illness/death, new job schedule, etc.)?  * n/a If you feel comfortable sharing, please describe any recent significant changes in your life? Have you shared this with your Little and their Parent/Guardian?  * One of my sister's close friends passed away a week and a half ago which lead me to go home and spend time with my sister. I informed Cheryl as it also contributed to me not being able to spend time with L_first_name this month. Have you had any issues with communication, planning activities, or budgeting with your Little and their Parent/Guardian? If so, please describe.  * N/A. Safety Policy Review Riding in Motor Vehicles and Supervision: When riding in or operating motor vehicles: General safety rules must be followed, including wearing seat belts, helmets, and life preservers. Connect with parent/guardian about whether they should sit in the front or back seat of the car. Supervision of Little: Bigs are responsible for the supervision of Littles at all times during a match activity, so do not leave them alone or with someone else. Mentoring can be hard work! Is there any way I can help make your match more successful? This form will count as your monthly support check-in. If you would like to schedule a follow-up phone conversation, please use this link to schedule a call : ( https://bbbsgtc.as.me/EB )</v>
          </cell>
          <cell r="E82" t="str">
            <v>Closed</v>
          </cell>
          <cell r="F82" t="str">
            <v>0032J00003VeNqZQAV</v>
          </cell>
          <cell r="G82" t="str">
            <v>0032J00003UpZ4K</v>
          </cell>
          <cell r="J82">
            <v>29</v>
          </cell>
          <cell r="K82" t="str">
            <v>Medical: Healthcare Worker</v>
          </cell>
          <cell r="L82" t="str">
            <v>No</v>
          </cell>
          <cell r="M82">
            <v>43795</v>
          </cell>
          <cell r="P82" t="str">
            <v>Female</v>
          </cell>
          <cell r="Q82">
            <v>35004</v>
          </cell>
          <cell r="R82" t="str">
            <v>U of MN Masonic Childrens Hospital</v>
          </cell>
          <cell r="S82" t="str">
            <v>General Community</v>
          </cell>
          <cell r="T82" t="str">
            <v>Community</v>
          </cell>
          <cell r="U82" t="str">
            <v>White or Caucasian;</v>
          </cell>
          <cell r="V82" t="str">
            <v>Volunteer: Moved</v>
          </cell>
          <cell r="W82" t="str">
            <v>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v>
          </cell>
          <cell r="Y82" t="str">
            <v>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v>
          </cell>
          <cell r="AT82">
            <v>0</v>
          </cell>
          <cell r="AU82">
            <v>1</v>
          </cell>
          <cell r="AV82">
            <v>44334</v>
          </cell>
          <cell r="AX82">
            <v>44375</v>
          </cell>
          <cell r="AY82">
            <v>44376</v>
          </cell>
          <cell r="BK82" t="str">
            <v>Female</v>
          </cell>
          <cell r="BL82" t="str">
            <v>Black or African American</v>
          </cell>
          <cell r="BM82">
            <v>39873</v>
          </cell>
          <cell r="BN82">
            <v>270530121011</v>
          </cell>
          <cell r="BO82">
            <v>270531065001</v>
          </cell>
          <cell r="BQ82">
            <v>16.899999999999999</v>
          </cell>
        </row>
        <row r="83">
          <cell r="A83" t="str">
            <v>a1v2J0000039UeRQAU</v>
          </cell>
          <cell r="B83">
            <v>43818</v>
          </cell>
          <cell r="C83">
            <v>43868</v>
          </cell>
          <cell r="D83" t="str">
            <v>February Online Check In Form Please provide a brief update of your match. What activities have you been doing? What's new and exciting? Have you faced any challenges? REFLECT &amp; SHARE:  * We matched in December and we have met up 5 times since then. We have done everything from arts and crafts to swimming. L_first_name is opening up to me a little more each time so it is very exciting for me to see progress in that realm. We have not encountered any challenges thus far.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How do you personally model expressing care when you?re with your Little?  * I model care by asking question and listening to L_first_name--whether that be about school, sports, home, along with asking questions about past events she's done. Along with asking questions and showing interest in her life I do my best to show her and illustrate that I am listening to her and I do care about what she has to say along with her opinions. How does your Little express care in the relationship? Is their approach different than your own?  * I think she expresses she cares a little different than myself as she has not really asked about anything in my personal life/does not ask me questions in general. However-- she is getting more outgoing each time we meet so that gives me a belief that she is starting to trust me and wants to hangout with me. Please describe any recent significant changes in the lives of your Little and their family (moving, new phone #, death/illness, new job schedule, etc.)? Do you anticipate any challenges for your Little or their family as we approach winter?  * I do not anticipate any challenges If you feel comfortable sharing, please describe any recent significant changes in your life? Have you shared this with your Little and their Parent/Guardian?  * As of now I have not had any recent life changes. Have you had any issues with communication, planning activities, or budgeting with your Little's Parent/Guardian? If so, please describe.  * No! Child Safety Policy Review: Illness and Injury I have read and fully understand the above child safety policies Mentoring can be hard work! Is there any way I can help make your match more successful? This form will count as your monthly support check-in. If you would like to schedule a follow-up phone conversation, please use this link to schedule a call : ( https://bbbsgtc.as.me/EB ) As of now no! Thank you</v>
          </cell>
          <cell r="E83" t="str">
            <v>Closed</v>
          </cell>
          <cell r="F83" t="str">
            <v>0032J00003VeNqZQAV</v>
          </cell>
          <cell r="G83" t="str">
            <v>0032J00003UpZ4K</v>
          </cell>
          <cell r="J83">
            <v>29</v>
          </cell>
          <cell r="K83" t="str">
            <v>Medical: Healthcare Worker</v>
          </cell>
          <cell r="L83" t="str">
            <v>No</v>
          </cell>
          <cell r="M83">
            <v>43795</v>
          </cell>
          <cell r="P83" t="str">
            <v>Female</v>
          </cell>
          <cell r="Q83">
            <v>35004</v>
          </cell>
          <cell r="R83" t="str">
            <v>U of MN Masonic Childrens Hospital</v>
          </cell>
          <cell r="S83" t="str">
            <v>General Community</v>
          </cell>
          <cell r="T83" t="str">
            <v>Community</v>
          </cell>
          <cell r="U83" t="str">
            <v>White or Caucasian;</v>
          </cell>
          <cell r="V83" t="str">
            <v>Volunteer: Moved</v>
          </cell>
          <cell r="W83" t="str">
            <v>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v>
          </cell>
          <cell r="Y83" t="str">
            <v>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v>
          </cell>
          <cell r="AT83">
            <v>0</v>
          </cell>
          <cell r="AU83">
            <v>1</v>
          </cell>
          <cell r="AV83">
            <v>44334</v>
          </cell>
          <cell r="AX83">
            <v>44375</v>
          </cell>
          <cell r="AY83">
            <v>44376</v>
          </cell>
          <cell r="BK83" t="str">
            <v>Female</v>
          </cell>
          <cell r="BL83" t="str">
            <v>Black or African American</v>
          </cell>
          <cell r="BM83">
            <v>39873</v>
          </cell>
          <cell r="BN83">
            <v>270530121011</v>
          </cell>
          <cell r="BO83">
            <v>270531065001</v>
          </cell>
          <cell r="BQ83">
            <v>16.899999999999999</v>
          </cell>
        </row>
        <row r="84">
          <cell r="A84" t="str">
            <v>a1v2J0000039UeRQAU</v>
          </cell>
          <cell r="B84">
            <v>43818</v>
          </cell>
          <cell r="C84">
            <v>43844</v>
          </cell>
          <cell r="D84" t="str">
            <v>BS reports the match is off to a good start and they are meeting up consistently. BS feels the relationship is developing slowly but LS is starting to open up more. She understands this is normal and will take time to reach a deeper level. Went to the library for their first meetup to do a craft. Second, they went to an Italian restaurant and LS made balloon animals for her. Third, they went to a MCP and LS said it was nice to see other matches. LS is quiet and reserved so PG is going to help LS make a list of things she wants to do. PG comms are very good and they are having face to face check ins. Big App is up and running. Reviewed child safety policy and emergency contact Pushed BBBS events</v>
          </cell>
          <cell r="E84" t="str">
            <v>Closed</v>
          </cell>
          <cell r="F84" t="str">
            <v>0032J00003VeNqZQAV</v>
          </cell>
          <cell r="G84" t="str">
            <v>0032J00003UpZ4K</v>
          </cell>
          <cell r="J84">
            <v>29</v>
          </cell>
          <cell r="K84" t="str">
            <v>Medical: Healthcare Worker</v>
          </cell>
          <cell r="L84" t="str">
            <v>No</v>
          </cell>
          <cell r="M84">
            <v>43795</v>
          </cell>
          <cell r="P84" t="str">
            <v>Female</v>
          </cell>
          <cell r="Q84">
            <v>35004</v>
          </cell>
          <cell r="R84" t="str">
            <v>U of MN Masonic Childrens Hospital</v>
          </cell>
          <cell r="S84" t="str">
            <v>General Community</v>
          </cell>
          <cell r="T84" t="str">
            <v>Community</v>
          </cell>
          <cell r="U84" t="str">
            <v>White or Caucasian;</v>
          </cell>
          <cell r="V84" t="str">
            <v>Volunteer: Moved</v>
          </cell>
          <cell r="W84" t="str">
            <v>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v>
          </cell>
          <cell r="Y84" t="str">
            <v>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v>
          </cell>
          <cell r="AT84">
            <v>0</v>
          </cell>
          <cell r="AU84">
            <v>1</v>
          </cell>
          <cell r="AV84">
            <v>44334</v>
          </cell>
          <cell r="AX84">
            <v>44375</v>
          </cell>
          <cell r="AY84">
            <v>44376</v>
          </cell>
          <cell r="BK84" t="str">
            <v>Female</v>
          </cell>
          <cell r="BL84" t="str">
            <v>Black or African American</v>
          </cell>
          <cell r="BM84">
            <v>39873</v>
          </cell>
          <cell r="BN84">
            <v>270530121011</v>
          </cell>
          <cell r="BO84">
            <v>270531065001</v>
          </cell>
          <cell r="BQ84">
            <v>16.899999999999999</v>
          </cell>
        </row>
        <row r="85">
          <cell r="A85" t="str">
            <v>a1v2J0000039UeRQAU</v>
          </cell>
          <cell r="B85">
            <v>43818</v>
          </cell>
          <cell r="C85">
            <v>43840</v>
          </cell>
          <cell r="D85" t="str">
            <v>Match attended January MCP.  Matches focused on learning about themselves and their relationships, as well as getting to know the other matches there. Between the group question ball, friendship values craft, and the diary/scrapbook, matches were talking about ways to celebrate their relationships.</v>
          </cell>
          <cell r="E85" t="str">
            <v>Closed</v>
          </cell>
          <cell r="F85" t="str">
            <v>0032J00003VeNqZQAV</v>
          </cell>
          <cell r="G85" t="str">
            <v>0032J00003UpZ4K</v>
          </cell>
          <cell r="J85">
            <v>29</v>
          </cell>
          <cell r="K85" t="str">
            <v>Medical: Healthcare Worker</v>
          </cell>
          <cell r="L85" t="str">
            <v>No</v>
          </cell>
          <cell r="M85">
            <v>43795</v>
          </cell>
          <cell r="P85" t="str">
            <v>Female</v>
          </cell>
          <cell r="Q85">
            <v>35004</v>
          </cell>
          <cell r="R85" t="str">
            <v>U of MN Masonic Childrens Hospital</v>
          </cell>
          <cell r="S85" t="str">
            <v>General Community</v>
          </cell>
          <cell r="T85" t="str">
            <v>Community</v>
          </cell>
          <cell r="U85" t="str">
            <v>White or Caucasian;</v>
          </cell>
          <cell r="V85" t="str">
            <v>Volunteer: Moved</v>
          </cell>
          <cell r="W85" t="str">
            <v>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v>
          </cell>
          <cell r="Y85" t="str">
            <v>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v>
          </cell>
          <cell r="AT85">
            <v>0</v>
          </cell>
          <cell r="AU85">
            <v>1</v>
          </cell>
          <cell r="AV85">
            <v>44334</v>
          </cell>
          <cell r="AX85">
            <v>44375</v>
          </cell>
          <cell r="AY85">
            <v>44376</v>
          </cell>
          <cell r="BK85" t="str">
            <v>Female</v>
          </cell>
          <cell r="BL85" t="str">
            <v>Black or African American</v>
          </cell>
          <cell r="BM85">
            <v>39873</v>
          </cell>
          <cell r="BN85">
            <v>270530121011</v>
          </cell>
          <cell r="BO85">
            <v>270531065001</v>
          </cell>
          <cell r="BQ85">
            <v>16.899999999999999</v>
          </cell>
        </row>
        <row r="86">
          <cell r="A86" t="str">
            <v>a1v2J0000039UeRQAU</v>
          </cell>
          <cell r="B86">
            <v>43818</v>
          </cell>
          <cell r="C86">
            <v>43944</v>
          </cell>
          <cell r="D86" t="str">
            <v>April Online Check In Form Please provide a brief update of your match. What activities have you been doing? Have you faced any challenges with connecting remotely? REFLECT &amp; SHARE: * We have not been able to meet with the restrictions put in place because of COVID-19. However, I recently sent out a letter to her that way we are able to still stay in touch in a fun way. We also are finding times to FaceTime one another. Are you and your family safe and healthy? Do you feel like you have enough resources to get through the quarantine? Is there anything you are particularly concerned about that I can support you and your family with?  * I feel like I am very healthy and safe while still working at the hospital during this time. I do not think there is anything I need. Has the virus quarantine affected your employment? Do you work in a "critical sector" like healthcare, childcare, grocery store/food delivery, etc.? Are you facing any financial challenges that I can support you and your family with? * at this time my family has not had employment issues. Both my wife and I are able to work from home. Have you been able to connect with your Little's Parent/Guardian since the quarantine started? Have you had a chance to connect directly with your Little over the phone, internet, or mail? What sort of activities can you do remotely?  * Text only thus far. Is your Little and their family facing any challenges related to the virus quarantine? Is there anything I can do to support them?  * Not that has been reported to me. Have you had any issues with communication, planning activities, or budgeting with your Little and their Parent/Guardian? If so, please describe.  * No Safety Policy Review -  COVID-19 basics from the CDC website Mentoring can be hard work! Is there any way I can help make your match more successful? This form will count as your monthly support check-in. If you would like to schedule a follow-up phone conversation, please use this link to schedule a call : ( https://bbbsgtc.as.me/EB ) I appreciate the remote activity ideas - please continue to share these.</v>
          </cell>
          <cell r="E86" t="str">
            <v>Closed</v>
          </cell>
          <cell r="F86" t="str">
            <v>0032J00003VeNqZQAV</v>
          </cell>
          <cell r="G86" t="str">
            <v>0032J00003UpZ4K</v>
          </cell>
          <cell r="J86">
            <v>29</v>
          </cell>
          <cell r="K86" t="str">
            <v>Medical: Healthcare Worker</v>
          </cell>
          <cell r="L86" t="str">
            <v>No</v>
          </cell>
          <cell r="M86">
            <v>43795</v>
          </cell>
          <cell r="P86" t="str">
            <v>Female</v>
          </cell>
          <cell r="Q86">
            <v>35004</v>
          </cell>
          <cell r="R86" t="str">
            <v>U of MN Masonic Childrens Hospital</v>
          </cell>
          <cell r="S86" t="str">
            <v>General Community</v>
          </cell>
          <cell r="T86" t="str">
            <v>Community</v>
          </cell>
          <cell r="U86" t="str">
            <v>White or Caucasian;</v>
          </cell>
          <cell r="V86" t="str">
            <v>Volunteer: Moved</v>
          </cell>
          <cell r="W86" t="str">
            <v>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v>
          </cell>
          <cell r="Y86" t="str">
            <v>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v>
          </cell>
          <cell r="AT86">
            <v>0</v>
          </cell>
          <cell r="AU86">
            <v>1</v>
          </cell>
          <cell r="AV86">
            <v>44334</v>
          </cell>
          <cell r="AX86">
            <v>44375</v>
          </cell>
          <cell r="AY86">
            <v>44376</v>
          </cell>
          <cell r="BK86" t="str">
            <v>Female</v>
          </cell>
          <cell r="BL86" t="str">
            <v>Black or African American</v>
          </cell>
          <cell r="BM86">
            <v>39873</v>
          </cell>
          <cell r="BN86">
            <v>270530121011</v>
          </cell>
          <cell r="BO86">
            <v>270531065001</v>
          </cell>
          <cell r="BQ86">
            <v>16.899999999999999</v>
          </cell>
        </row>
        <row r="87">
          <cell r="A87" t="str">
            <v>a1v2J000003Ef9jQAC</v>
          </cell>
          <cell r="B87">
            <v>44280</v>
          </cell>
          <cell r="C87">
            <v>45687</v>
          </cell>
          <cell r="D87" t="str">
            <v>Your name (first and last) * B_first_name B_last_name Little's name (first and last)  * L_first_name L_last_name Approximately how many times has your match gotten together since your last check-in? (1 month for matches less than 1 year, 3 months for matches more than 1 year) * 3 If you did not meet this month/quarter, do you know why? Do you and your Little's parent / guardian have a plan to have regular match outings again? * I have been busy, so our meetings have been less frequent. I try to make up for it by having our meetings be longer when they happen. Aminah and I stay in contact to make plans when it works for us. How long does your match typically spend together each outing? * 1-2 hours 2-3 hours 3-4 hours Other: What activities have you and your Little done together since our last check-in?  * Most recently we went to Nickelodeon Universe. Generally we do home science experiments in the winter months If you have been matched for LESS THAN ONE YEAR : Your Little's "Youth Goal" is to get to know you, their Big, and have fun! Tell me about how you feel like your relationship is developing, from your perspective. * L_first_name and I should discuss adding a goal this year. If you have been matched for MORE THAN ONE YEAR:  How is your "youth goal" going? If you don't know or aren't sure, what is something that you're working on together right now? We don't have a goal for this year. We've discussed a number of experiences he wants to have, so next time we meet we will discuss further What's an activity that has been a "win" or went very well?  * We have done many activities that have gone really well. One that sticks out was a trip to the science museum. What's an activity that didn't go so well? Why do you think that was the case? There was a day I visited this summer when L_first_name had had a late night the evening prior and he was mostly too tired to do anything. It was disappointing for me, as I'd planned some outdoor excursion but I asked if he wanted to just do his own thing and when he said yes, I gave him space to do that. New year, new activities! What are you excited to do with your Little in 2025? Most recently we discussed trying to play some cooperative board games or video games. Please respond after reading the Safety Reminder below:  Activity Setting / Location ? It is encouraged that matches participate in BBBSTC sponsored events and activities in the community. ? During the first three months of the match relationship, all activities must take place outside of the volunteer?s home. ? After the three month waiting period, matches must be pre-approved by BBBS staff and parent/ guardian prior to the child/youth visiting a volunteer?s home. After the home visit pre-approval process has been completed, matches are to do no more than 50% of their activities at the volunteer?s home. * I have read &amp; understand the safety reminder. I have questions that I would like to discuss further. If you have a question about the safety reminder, please share the question here.  L_first_name has been to my home with his parent present. We should probably engage in this process in case we plan an event at my home in the future. Do you have any updates you would like to share? (Life changes, moving, contact information updates, etc) * No. Mentoring is hard work! How can I support you?  * I think we're mostly okay. If there could be a push for more events on the east side that would be nice. Getting all the way across town and back after work is tough. This form will count as your monthly support check-in. If you would like to schedule a follow-up phone conversation, you can do so with the following link: https://bbbsgtc.as.me/TH</v>
          </cell>
          <cell r="E87" t="str">
            <v>Active</v>
          </cell>
          <cell r="F87" t="str">
            <v>0032J00003VeOWRQA3</v>
          </cell>
          <cell r="G87" t="str">
            <v>0032J00003YxSh5</v>
          </cell>
          <cell r="J87">
            <v>36</v>
          </cell>
          <cell r="K87" t="str">
            <v>Tech: Engineer</v>
          </cell>
          <cell r="L87" t="str">
            <v>No</v>
          </cell>
          <cell r="M87">
            <v>44260</v>
          </cell>
          <cell r="P87" t="str">
            <v>Female</v>
          </cell>
          <cell r="Q87">
            <v>32387</v>
          </cell>
          <cell r="R87" t="str">
            <v>Delta</v>
          </cell>
          <cell r="S87" t="str">
            <v>Virtual Match</v>
          </cell>
          <cell r="T87" t="str">
            <v>Community</v>
          </cell>
          <cell r="U87" t="str">
            <v>White or Caucasian;</v>
          </cell>
          <cell r="Y87" t="str">
            <v>1. Distance: 14 miles (18 mins) 2. Shared Traits: Both are friendly, talkative, polite, curious, energetic and respectful. 3. Shared Interests: Both love math, engineering, active outdoorsy, animals and trying new things. ***Both family and BS are open to cross-gender matching.</v>
          </cell>
          <cell r="Z87" t="str">
            <v>CB Volunteer Enrollment</v>
          </cell>
          <cell r="AA87">
            <v>44033</v>
          </cell>
          <cell r="AB87">
            <v>44034</v>
          </cell>
          <cell r="AE87">
            <v>14</v>
          </cell>
          <cell r="AH87">
            <v>0</v>
          </cell>
          <cell r="AO87">
            <v>43985</v>
          </cell>
          <cell r="AP87">
            <v>43986</v>
          </cell>
          <cell r="AR87" t="str">
            <v>Married</v>
          </cell>
          <cell r="AT87">
            <v>0</v>
          </cell>
          <cell r="AU87">
            <v>1</v>
          </cell>
          <cell r="AV87">
            <v>44000</v>
          </cell>
          <cell r="AX87">
            <v>44210</v>
          </cell>
          <cell r="AY87">
            <v>44233</v>
          </cell>
          <cell r="BG87" t="str">
            <v>Soccer and any kind of sports</v>
          </cell>
          <cell r="BK87" t="str">
            <v>Male</v>
          </cell>
          <cell r="BL87" t="str">
            <v>Black or African American</v>
          </cell>
          <cell r="BM87">
            <v>40969</v>
          </cell>
          <cell r="BN87">
            <v>271630710213</v>
          </cell>
          <cell r="BO87">
            <v>271230357001</v>
          </cell>
          <cell r="BQ87">
            <v>47.1</v>
          </cell>
        </row>
        <row r="88">
          <cell r="A88" t="str">
            <v>a1v2J000003Ef9jQAC</v>
          </cell>
          <cell r="B88">
            <v>44280</v>
          </cell>
          <cell r="C88">
            <v>45553</v>
          </cell>
          <cell r="D88" t="str">
            <v>Match attended the target back to school event. Thanks for Joining Us at the Target Back-to-School Event! Hello! I hope you and your Little had a great time at the  Target Back-to-School shopping event ! It was wonderful to see so many matches come together for this special outing. If you'd like to share any feedback about the event, we?d love to hear from you! Your input helps us improve future activities and events. Also, just a quick reminder that your participation in this event counts as a check-in for your match. If you have any questions, need support, or want to chat further about your match, please don?t hesitate to reach out.  Thanks again for being a part of this event and for everything you do! Best,</v>
          </cell>
          <cell r="E88" t="str">
            <v>Active</v>
          </cell>
          <cell r="F88" t="str">
            <v>0032J00003VeOWRQA3</v>
          </cell>
          <cell r="G88" t="str">
            <v>0032J00003YxSh5</v>
          </cell>
          <cell r="J88">
            <v>36</v>
          </cell>
          <cell r="K88" t="str">
            <v>Tech: Engineer</v>
          </cell>
          <cell r="L88" t="str">
            <v>No</v>
          </cell>
          <cell r="M88">
            <v>44260</v>
          </cell>
          <cell r="P88" t="str">
            <v>Female</v>
          </cell>
          <cell r="Q88">
            <v>32387</v>
          </cell>
          <cell r="R88" t="str">
            <v>Delta</v>
          </cell>
          <cell r="S88" t="str">
            <v>Virtual Match</v>
          </cell>
          <cell r="T88" t="str">
            <v>Community</v>
          </cell>
          <cell r="U88" t="str">
            <v>White or Caucasian;</v>
          </cell>
          <cell r="Y88" t="str">
            <v>1. Distance: 14 miles (18 mins) 2. Shared Traits: Both are friendly, talkative, polite, curious, energetic and respectful. 3. Shared Interests: Both love math, engineering, active outdoorsy, animals and trying new things. ***Both family and BS are open to cross-gender matching.</v>
          </cell>
          <cell r="Z88" t="str">
            <v>CB Volunteer Enrollment</v>
          </cell>
          <cell r="AA88">
            <v>44033</v>
          </cell>
          <cell r="AB88">
            <v>44034</v>
          </cell>
          <cell r="AE88">
            <v>14</v>
          </cell>
          <cell r="AH88">
            <v>0</v>
          </cell>
          <cell r="AO88">
            <v>43985</v>
          </cell>
          <cell r="AP88">
            <v>43986</v>
          </cell>
          <cell r="AR88" t="str">
            <v>Married</v>
          </cell>
          <cell r="AT88">
            <v>0</v>
          </cell>
          <cell r="AU88">
            <v>1</v>
          </cell>
          <cell r="AV88">
            <v>44000</v>
          </cell>
          <cell r="AX88">
            <v>44210</v>
          </cell>
          <cell r="AY88">
            <v>44233</v>
          </cell>
          <cell r="BG88" t="str">
            <v>Soccer and any kind of sports</v>
          </cell>
          <cell r="BK88" t="str">
            <v>Male</v>
          </cell>
          <cell r="BL88" t="str">
            <v>Black or African American</v>
          </cell>
          <cell r="BM88">
            <v>40969</v>
          </cell>
          <cell r="BN88">
            <v>271630710213</v>
          </cell>
          <cell r="BO88">
            <v>271230357001</v>
          </cell>
          <cell r="BQ88">
            <v>47.1</v>
          </cell>
        </row>
        <row r="89">
          <cell r="A89" t="str">
            <v>a1v2J000003Ef9jQAC</v>
          </cell>
          <cell r="B89">
            <v>44280</v>
          </cell>
          <cell r="C89">
            <v>45443</v>
          </cell>
          <cell r="D89" t="str">
            <v>Your name (first and last) * Pam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I have been busier than normal and struggled to schedule meet ups. This will improve in the coming months. How long does your match typically spend together each outing? * 1-2 hours 2-3 hours 3-4 hours Other: What activities have you and your Little done together since our last check-in?  * Most recently we planted garden seeds in a raised bed. What is something you and your Little are hoping to do together this summer? * We've discussed some options. will for sure do some new outdoor activities. Also check out Nickelodeon universe. Tell me about a time where you followed your Little's lead or made sure that your Little's voice was heard.  On a recent outing, jamal was really low energy and getting him to interact was a struggle. I eventually asked if he would prefer some time on his own and he admitted he wanted to be alone for a bit. I was disappointed in the brevity of our meeting, but I listened to his needs and gave him the space. Are there any areas within your match experience that you feel like more support, information, or guidance would help you be the best Big you can be? * I believe the resources I need are available, but need to have them on hand for our next match.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 Mentoring is hard work! How can I support you? * If the T(our) city challenges are coming back an time soon wed love to know. Those were nice outings for us. This form will count as your monthly support check-in. If you would like to schedule a follow-up phone conversation, please use this link to schedule a call: https://bbbsgtc.as.me/TH</v>
          </cell>
          <cell r="E89" t="str">
            <v>Active</v>
          </cell>
          <cell r="F89" t="str">
            <v>0032J00003VeOWRQA3</v>
          </cell>
          <cell r="G89" t="str">
            <v>0032J00003YxSh5</v>
          </cell>
          <cell r="J89">
            <v>36</v>
          </cell>
          <cell r="K89" t="str">
            <v>Tech: Engineer</v>
          </cell>
          <cell r="L89" t="str">
            <v>No</v>
          </cell>
          <cell r="M89">
            <v>44260</v>
          </cell>
          <cell r="P89" t="str">
            <v>Female</v>
          </cell>
          <cell r="Q89">
            <v>32387</v>
          </cell>
          <cell r="R89" t="str">
            <v>Delta</v>
          </cell>
          <cell r="S89" t="str">
            <v>Virtual Match</v>
          </cell>
          <cell r="T89" t="str">
            <v>Community</v>
          </cell>
          <cell r="U89" t="str">
            <v>White or Caucasian;</v>
          </cell>
          <cell r="Y89" t="str">
            <v>1. Distance: 14 miles (18 mins) 2. Shared Traits: Both are friendly, talkative, polite, curious, energetic and respectful. 3. Shared Interests: Both love math, engineering, active outdoorsy, animals and trying new things. ***Both family and BS are open to cross-gender matching.</v>
          </cell>
          <cell r="Z89" t="str">
            <v>CB Volunteer Enrollment</v>
          </cell>
          <cell r="AA89">
            <v>44033</v>
          </cell>
          <cell r="AB89">
            <v>44034</v>
          </cell>
          <cell r="AE89">
            <v>14</v>
          </cell>
          <cell r="AH89">
            <v>0</v>
          </cell>
          <cell r="AO89">
            <v>43985</v>
          </cell>
          <cell r="AP89">
            <v>43986</v>
          </cell>
          <cell r="AR89" t="str">
            <v>Married</v>
          </cell>
          <cell r="AT89">
            <v>0</v>
          </cell>
          <cell r="AU89">
            <v>1</v>
          </cell>
          <cell r="AV89">
            <v>44000</v>
          </cell>
          <cell r="AX89">
            <v>44210</v>
          </cell>
          <cell r="AY89">
            <v>44233</v>
          </cell>
          <cell r="BG89" t="str">
            <v>Soccer and any kind of sports</v>
          </cell>
          <cell r="BK89" t="str">
            <v>Male</v>
          </cell>
          <cell r="BL89" t="str">
            <v>Black or African American</v>
          </cell>
          <cell r="BM89">
            <v>40969</v>
          </cell>
          <cell r="BN89">
            <v>271630710213</v>
          </cell>
          <cell r="BO89">
            <v>271230357001</v>
          </cell>
          <cell r="BQ89">
            <v>47.1</v>
          </cell>
        </row>
        <row r="90">
          <cell r="A90" t="str">
            <v>a1v2J000003Ef9jQAC</v>
          </cell>
          <cell r="B90">
            <v>44280</v>
          </cell>
          <cell r="C90">
            <v>45323</v>
          </cell>
          <cell r="D90" t="str">
            <v>Happy February Pam! I hope you are enjoying the beginning of the month and this nice weather! I look forward to hearing from you to hear how things are going with L_first_name. You can complete this month's google form ( https://forms.gle/mJiV13dZJRstKoNNA ). You can schedule a phone call check-in here through my google calendar ( https://bbbsgtc.as.me/SC ). Also feel free to text me letting me know what day and time works best for you. Look out for a communication email about a BBBS update! This Months Child Safety Topic is Riding in or operating motor vehicles &amp; supervision and transportation of youth. * Please reach out to me if you have any questions or concerns about this policy Here are some BBBS Upcoming Events! ** Please reach out to Big to see if they are available for the bottom events ** Financial Literacy Workshop (Littles ages 12+) February 13th @ 6:00 pm - 8:00 pm RSVP HERE FAB Life?s Financial Literacy: Using ECMC (the Educational Credit Management Corporation)?s FAB Life game, matches will embark on a financial journey, discovering the basics of managing money, discovering how that aligns with their future goals, and explore a possible future life. What to expect: Join us to learn more about ?real life? finances at this interactive workshop. Littles ages 12+ will be given a life scenario and experience balancing their budget accordingly. They?ll be encouraged to think outside of the box in order to afford the lifestyle they have been handed. However, at the end of the simulation, they must have a balanced budget! No previous knowledge is necessary! Details: Dinner will be provided, please note any dietary restrictions during registration. 2024 Palentine?s Dinner February 15th @ 5:30 pm - 7:30 pm RSVP HERE Celebrate your match with a special PALentine?s Dinner on February 15! Twenty-five lucky matches will enjoy a delicious dinner hosted by Momento . Add to the experience by making Palentine?s Dinner a ?dress up? night with your Little! Momento takes guests on an exciting culinary adventure to the sun-drenched coasts and rolling vineyards of the Mediterranean with every bite. With craveable Mediterranean cuisine, handcrafted cocktails and curated wine list, and our friendly, highly skilled staff, Momento is a destination restaurant in Downtown St. Paul that feels ? and tastes ? a world away. We?re so grateful to Tareen Dermatology for their generous support of Big Brothers Big Sisters Twin Cities and making this event possible! PARKING: Street parking is available outside of Momento. Please give yourself ample time to park and arrive on time. BBBS PHOTO &amp; VIDEO DISCLAIMER: If you or any member of your party does not want to be in photos or videos, please let our BBBS staff know immediately. Big Brothers Big Sisters Twin Cities will be taking photos and videos at this event without the expressed written permission of those included within the photograph/video for marketing and publicity in our publications, on our website, and/or on social media. STEM Workshop: 3D Printing February 17th @ 9:30 am - 2:30 pm RSVP HERE Attention STEM enthusiasts aged 12 and above! Join us in collaboration with Jazmine Darden from SPARKZ3D for an exciting STEM workshop where you?ll have the unique opportunity to build and 3D print your very own ?Jaz Music Box? Bluetooth speaker . IMPORTANT DETAILS: This event is exclusively for youth aged 12 and above with a strong interest in STEM. Space is limited to 8 Littles, and registration will be on a first-come, first-served basis. Please register only if you?re absolutely certain about attending. Adults of the Little, including their Big and/or family members may accompany but are not required to be present for this event. This workshop is longer than typical events, but we assure you that the activities are highly engaging. Plus, you?ll get to take home the 3D-printed Bluetooth speaker you create! Light snacks and lunch will be provided; please indicate any dietary restrictions during registration. SCHEDULE: 9:45-10:00 | Arrival and settling in. Light snacks will be provided. 10:00-10:15 | Explore the 3D printing process with examples of its applications in the industry. 10:15-10:45 | Learn TinkerCAD (computer-aided design) software. Students will have hands-on time to explore the software. 10:45-11:30 | Receive the design challenge to create the cover of your Bluetooth speaker. 11:30-12:30 | Lunch break, food will be provided. 12:30-1:30 | Learn about solder safety and then solder all the electronics needed to make the Bluetooth speaker. 1:30-2:30 | Assemble your Bluetooth speaker to take home! Don?t miss this fantastic opportunity to delve into the world of STEM and walk away with a personalized, 3D-printed Bluetooth speaker! Register now to secure your spot. BBBS PHOTO &amp; VIDEO DISCLAIMER: If you or any member of your party does not want to be in photos or videos, please let our BBBS staff know immediately. Big Brothers Big Sisters Twin Cities will be taking photos and videos at this event without the expressed written permission of those included within the photograph/video for marketing and publicity in our publications, on our website, and/or on social media. Minecraft Coding with Skillquest February 21st @ 6:30 pm - 8:00 pm RSVP HERE Calling techies of all ages! In collaboration with Skillquest , matches are invited to an event where they will learn how to code through the popular game, Minecraft. In addition to learning to code, matches will also get to enjoy dinner together and learn more about how to continue to pursue their interest in STEM. The coding course will also be accessible via internet connection after the event, so matches can continue their learning and practice their coding skills after the event concludes! FOOD: Dinner will be provided during the event. Please note any dietary restrictions during registration. BBBS PHOTO &amp; VIDEO DISCLAIMER: If you or any member of your party does not want to be in photos or videos, please let our BBBS staff know immediately. Big Brothers Big Sisters Twin Cities will be taking photos and videos at this event without the expressed written permission of those included within the photograph/video for marketing and publicity in our publications, on our website, and/or on social media. Match Hangout ft. LEGO Theme! February 24th @ 11:00 am - 1:00 pm RSVP HERE Our Match Hangout events are the perfect opportunity to spend some fun, quality time with your Little doing activities you both enjoy. You?ll also have a chance to meet and mingle with other matches. Dinner will be served, as well. Please note any dietary restrictions during registration. I look forward to hearing from you and hearing how your match is doing! Thank you, Sandy Camacho</v>
          </cell>
          <cell r="E90" t="str">
            <v>Active</v>
          </cell>
          <cell r="F90" t="str">
            <v>0032J00003VeOWRQA3</v>
          </cell>
          <cell r="G90" t="str">
            <v>0032J00003YxSh5</v>
          </cell>
          <cell r="J90">
            <v>36</v>
          </cell>
          <cell r="K90" t="str">
            <v>Tech: Engineer</v>
          </cell>
          <cell r="L90" t="str">
            <v>No</v>
          </cell>
          <cell r="M90">
            <v>44260</v>
          </cell>
          <cell r="P90" t="str">
            <v>Female</v>
          </cell>
          <cell r="Q90">
            <v>32387</v>
          </cell>
          <cell r="R90" t="str">
            <v>Delta</v>
          </cell>
          <cell r="S90" t="str">
            <v>Virtual Match</v>
          </cell>
          <cell r="T90" t="str">
            <v>Community</v>
          </cell>
          <cell r="U90" t="str">
            <v>White or Caucasian;</v>
          </cell>
          <cell r="Y90" t="str">
            <v>1. Distance: 14 miles (18 mins) 2. Shared Traits: Both are friendly, talkative, polite, curious, energetic and respectful. 3. Shared Interests: Both love math, engineering, active outdoorsy, animals and trying new things. ***Both family and BS are open to cross-gender matching.</v>
          </cell>
          <cell r="Z90" t="str">
            <v>CB Volunteer Enrollment</v>
          </cell>
          <cell r="AA90">
            <v>44033</v>
          </cell>
          <cell r="AB90">
            <v>44034</v>
          </cell>
          <cell r="AE90">
            <v>14</v>
          </cell>
          <cell r="AH90">
            <v>0</v>
          </cell>
          <cell r="AO90">
            <v>43985</v>
          </cell>
          <cell r="AP90">
            <v>43986</v>
          </cell>
          <cell r="AR90" t="str">
            <v>Married</v>
          </cell>
          <cell r="AT90">
            <v>0</v>
          </cell>
          <cell r="AU90">
            <v>1</v>
          </cell>
          <cell r="AV90">
            <v>44000</v>
          </cell>
          <cell r="AX90">
            <v>44210</v>
          </cell>
          <cell r="AY90">
            <v>44233</v>
          </cell>
          <cell r="BG90" t="str">
            <v>Soccer and any kind of sports</v>
          </cell>
          <cell r="BK90" t="str">
            <v>Male</v>
          </cell>
          <cell r="BL90" t="str">
            <v>Black or African American</v>
          </cell>
          <cell r="BM90">
            <v>40969</v>
          </cell>
          <cell r="BN90">
            <v>271630710213</v>
          </cell>
          <cell r="BO90">
            <v>271230357001</v>
          </cell>
          <cell r="BQ90">
            <v>47.1</v>
          </cell>
        </row>
        <row r="91">
          <cell r="A91" t="str">
            <v>a1v2J000003Ef9jQAC</v>
          </cell>
          <cell r="B91">
            <v>44280</v>
          </cell>
          <cell r="C91">
            <v>45176</v>
          </cell>
          <cell r="D91" t="str">
            <v>Big's Name Pam B_last_name Little's Name L_first_name akinola Approximately how many times has your match gotten together since your last check-in? (1 month for matches less than 1 year, 3 months for matches more than 1 year). 3-4 times If you did not meet this month/quarter, do you know why? Do you and your Little's parent / guardian have a plan to have regular match outings again? We plan outings regularly How long does your match typically spend together each outing? 2-3 hours How is Little's "Match Goal" coming along? What is something you've done recently to support them in accomplishing their goal? We are still discussing a new goal for this year. What stage would you say your match is in right now? Which characteristics of this stage do you see reflected in your own mentoring relationship? Maturity. We have established trust and have easy conversations. What is one thing you've learned about your Little's personality recently? He gets really quiet when tired and it doesn't necessarily mean he's pulling away from me. Take an opportunity to reflect on the policies titled "When using public restrooms; When returning a child home after match activity". Click Child Safety Policies &amp; Guidelines for review. Do you and your Little's parent or guardian check in with each other after outings? Most of the time yes. Do you have any updates you would like to share? (Life changes, moving, contact information updates, etc) No Mentoring is hard work! Is there anything I can do right now (ex: provide resources, talk through a lingering concern) to support you on this journey? Good for now. MEC responded to BS via text: Good evening Pam. Thank you for completing the google form so quickly. It is great that you and L_first_name are seeing each other regularly and also discussing a new goal for this year. It is great that you see your match has matured and also established trust and having easy conversations. Please let me know if you have any questions! Have a great evening and I will check back in with you in December!</v>
          </cell>
          <cell r="E91" t="str">
            <v>Active</v>
          </cell>
          <cell r="F91" t="str">
            <v>0032J00003VeOWRQA3</v>
          </cell>
          <cell r="G91" t="str">
            <v>0032J00003YxSh5</v>
          </cell>
          <cell r="J91">
            <v>36</v>
          </cell>
          <cell r="K91" t="str">
            <v>Tech: Engineer</v>
          </cell>
          <cell r="L91" t="str">
            <v>No</v>
          </cell>
          <cell r="M91">
            <v>44260</v>
          </cell>
          <cell r="P91" t="str">
            <v>Female</v>
          </cell>
          <cell r="Q91">
            <v>32387</v>
          </cell>
          <cell r="R91" t="str">
            <v>Delta</v>
          </cell>
          <cell r="S91" t="str">
            <v>Virtual Match</v>
          </cell>
          <cell r="T91" t="str">
            <v>Community</v>
          </cell>
          <cell r="U91" t="str">
            <v>White or Caucasian;</v>
          </cell>
          <cell r="Y91" t="str">
            <v>1. Distance: 14 miles (18 mins) 2. Shared Traits: Both are friendly, talkative, polite, curious, energetic and respectful. 3. Shared Interests: Both love math, engineering, active outdoorsy, animals and trying new things. ***Both family and BS are open to cross-gender matching.</v>
          </cell>
          <cell r="Z91" t="str">
            <v>CB Volunteer Enrollment</v>
          </cell>
          <cell r="AA91">
            <v>44033</v>
          </cell>
          <cell r="AB91">
            <v>44034</v>
          </cell>
          <cell r="AE91">
            <v>14</v>
          </cell>
          <cell r="AH91">
            <v>0</v>
          </cell>
          <cell r="AO91">
            <v>43985</v>
          </cell>
          <cell r="AP91">
            <v>43986</v>
          </cell>
          <cell r="AR91" t="str">
            <v>Married</v>
          </cell>
          <cell r="AT91">
            <v>0</v>
          </cell>
          <cell r="AU91">
            <v>1</v>
          </cell>
          <cell r="AV91">
            <v>44000</v>
          </cell>
          <cell r="AX91">
            <v>44210</v>
          </cell>
          <cell r="AY91">
            <v>44233</v>
          </cell>
          <cell r="BG91" t="str">
            <v>Soccer and any kind of sports</v>
          </cell>
          <cell r="BK91" t="str">
            <v>Male</v>
          </cell>
          <cell r="BL91" t="str">
            <v>Black or African American</v>
          </cell>
          <cell r="BM91">
            <v>40969</v>
          </cell>
          <cell r="BN91">
            <v>271630710213</v>
          </cell>
          <cell r="BO91">
            <v>271230357001</v>
          </cell>
          <cell r="BQ91">
            <v>47.1</v>
          </cell>
        </row>
        <row r="92">
          <cell r="A92" t="str">
            <v>a1v2J000003Ef9jQAC</v>
          </cell>
          <cell r="B92">
            <v>44280</v>
          </cell>
          <cell r="C92">
            <v>45257</v>
          </cell>
          <cell r="D92" t="str">
            <v>BS and LB attended the MN Zoo Event through BBBS. LB and BS interacted with BBBS Staff</v>
          </cell>
          <cell r="E92" t="str">
            <v>Active</v>
          </cell>
          <cell r="F92" t="str">
            <v>0032J00003VeOWRQA3</v>
          </cell>
          <cell r="G92" t="str">
            <v>0032J00003YxSh5</v>
          </cell>
          <cell r="J92">
            <v>36</v>
          </cell>
          <cell r="K92" t="str">
            <v>Tech: Engineer</v>
          </cell>
          <cell r="L92" t="str">
            <v>No</v>
          </cell>
          <cell r="M92">
            <v>44260</v>
          </cell>
          <cell r="P92" t="str">
            <v>Female</v>
          </cell>
          <cell r="Q92">
            <v>32387</v>
          </cell>
          <cell r="R92" t="str">
            <v>Delta</v>
          </cell>
          <cell r="S92" t="str">
            <v>Virtual Match</v>
          </cell>
          <cell r="T92" t="str">
            <v>Community</v>
          </cell>
          <cell r="U92" t="str">
            <v>White or Caucasian;</v>
          </cell>
          <cell r="Y92" t="str">
            <v>1. Distance: 14 miles (18 mins) 2. Shared Traits: Both are friendly, talkative, polite, curious, energetic and respectful. 3. Shared Interests: Both love math, engineering, active outdoorsy, animals and trying new things. ***Both family and BS are open to cross-gender matching.</v>
          </cell>
          <cell r="Z92" t="str">
            <v>CB Volunteer Enrollment</v>
          </cell>
          <cell r="AA92">
            <v>44033</v>
          </cell>
          <cell r="AB92">
            <v>44034</v>
          </cell>
          <cell r="AE92">
            <v>14</v>
          </cell>
          <cell r="AH92">
            <v>0</v>
          </cell>
          <cell r="AO92">
            <v>43985</v>
          </cell>
          <cell r="AP92">
            <v>43986</v>
          </cell>
          <cell r="AR92" t="str">
            <v>Married</v>
          </cell>
          <cell r="AT92">
            <v>0</v>
          </cell>
          <cell r="AU92">
            <v>1</v>
          </cell>
          <cell r="AV92">
            <v>44000</v>
          </cell>
          <cell r="AX92">
            <v>44210</v>
          </cell>
          <cell r="AY92">
            <v>44233</v>
          </cell>
          <cell r="BG92" t="str">
            <v>Soccer and any kind of sports</v>
          </cell>
          <cell r="BK92" t="str">
            <v>Male</v>
          </cell>
          <cell r="BL92" t="str">
            <v>Black or African American</v>
          </cell>
          <cell r="BM92">
            <v>40969</v>
          </cell>
          <cell r="BN92">
            <v>271630710213</v>
          </cell>
          <cell r="BO92">
            <v>271230357001</v>
          </cell>
          <cell r="BQ92">
            <v>47.1</v>
          </cell>
        </row>
        <row r="93">
          <cell r="A93" t="str">
            <v>a1v2J000003Ef9jQAC</v>
          </cell>
          <cell r="B93">
            <v>44280</v>
          </cell>
          <cell r="C93">
            <v>45097</v>
          </cell>
          <cell r="D93" t="str">
            <v>Big's Name Pam B_last_name Little's Name L_first_name L_last_name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How long does your match typically spend together each outing? 2-3 hours What activities have you and your Little done together since our last check-in? Lego sets, birthday party How is Little's Youth Goal going? What has Little done recently to make progress towards accomplishing it? If you're not sure, what ideas do you have to support them in accomplishing the goal? We don't have an established goal. We've been sharing books recently. How does your match manage cost of activities? How do you feel this is working or not working? We typically do low or no cost activities that I pay for. It has been okay so far In what ways do you and your Little share power? Has that changed over time? We have always chosen activities together. For his birthday this year, I offered a few options but ultimately let him pick something completely different he'd wanted to do. How do you and your Little go about planning activities together? We often discuss what we will do next at the end of a meeting.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Please review the language in our policy and note we do not allow overnight activities. He has only been to my home a couple of times. He visited with my dogs in a controlled manner, and explored my yard. Will you have any schedule changes such as going out of town or general availability changes over the summer? If so, have you communicated these schedule changes with your Little's Parent/Guardian? I have generally been busy with my child, and adjusting to that has meant less time for L_first_name and I. His mom is understanding, but I am making an effort to create more time. Do you have any updates you would like to share? (Life changes, moving, contact information updates, etc) Nothing I can think of. Is there anything I can do for you to help you be the best mentor you can be? I think we're good. MEC responded to BS via text: Good Afternoon Pam. Thank you for completing the google form. Happy to read that you and L_first_name are seeing each other regularly and that you are doing fun activities together. It is great that you are both sharing books! It is great that L_first_name feels comfortable voicing what activities he would like to do. It is great that hear that L_first_name has gone to your home to visit with your dogs! You and Aminah communicating and that she is understanding of you being busy. Thank you Pam!</v>
          </cell>
          <cell r="E93" t="str">
            <v>Active</v>
          </cell>
          <cell r="F93" t="str">
            <v>0032J00003VeOWRQA3</v>
          </cell>
          <cell r="G93" t="str">
            <v>0032J00003YxSh5</v>
          </cell>
          <cell r="J93">
            <v>36</v>
          </cell>
          <cell r="K93" t="str">
            <v>Tech: Engineer</v>
          </cell>
          <cell r="L93" t="str">
            <v>No</v>
          </cell>
          <cell r="M93">
            <v>44260</v>
          </cell>
          <cell r="P93" t="str">
            <v>Female</v>
          </cell>
          <cell r="Q93">
            <v>32387</v>
          </cell>
          <cell r="R93" t="str">
            <v>Delta</v>
          </cell>
          <cell r="S93" t="str">
            <v>Virtual Match</v>
          </cell>
          <cell r="T93" t="str">
            <v>Community</v>
          </cell>
          <cell r="U93" t="str">
            <v>White or Caucasian;</v>
          </cell>
          <cell r="Y93" t="str">
            <v>1. Distance: 14 miles (18 mins) 2. Shared Traits: Both are friendly, talkative, polite, curious, energetic and respectful. 3. Shared Interests: Both love math, engineering, active outdoorsy, animals and trying new things. ***Both family and BS are open to cross-gender matching.</v>
          </cell>
          <cell r="Z93" t="str">
            <v>CB Volunteer Enrollment</v>
          </cell>
          <cell r="AA93">
            <v>44033</v>
          </cell>
          <cell r="AB93">
            <v>44034</v>
          </cell>
          <cell r="AE93">
            <v>14</v>
          </cell>
          <cell r="AH93">
            <v>0</v>
          </cell>
          <cell r="AO93">
            <v>43985</v>
          </cell>
          <cell r="AP93">
            <v>43986</v>
          </cell>
          <cell r="AR93" t="str">
            <v>Married</v>
          </cell>
          <cell r="AT93">
            <v>0</v>
          </cell>
          <cell r="AU93">
            <v>1</v>
          </cell>
          <cell r="AV93">
            <v>44000</v>
          </cell>
          <cell r="AX93">
            <v>44210</v>
          </cell>
          <cell r="AY93">
            <v>44233</v>
          </cell>
          <cell r="BG93" t="str">
            <v>Soccer and any kind of sports</v>
          </cell>
          <cell r="BK93" t="str">
            <v>Male</v>
          </cell>
          <cell r="BL93" t="str">
            <v>Black or African American</v>
          </cell>
          <cell r="BM93">
            <v>40969</v>
          </cell>
          <cell r="BN93">
            <v>271630710213</v>
          </cell>
          <cell r="BO93">
            <v>271230357001</v>
          </cell>
          <cell r="BQ93">
            <v>47.1</v>
          </cell>
        </row>
        <row r="94">
          <cell r="A94" t="str">
            <v>a1v2J000003Ef9jQAC</v>
          </cell>
          <cell r="B94">
            <v>44280</v>
          </cell>
          <cell r="C94">
            <v>44986</v>
          </cell>
          <cell r="D94" t="str">
            <v>Your name Pam Little's name L_first_name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We met less than preferred, this will improve with the weather. How long does your match typically spend together each outing? 3-4 hours What activities have you and your Little done together since our last check-in? Please tell me about one win or highlight, and one learning opportunity. At home science experiments How is Little's "Match Goal" coming along? What has Little done recently to make progress towards accomplishing it? If you're not sure, what ideas do you have to support them in accomplishing the goal? We never officially set a goal. We will do so this year. How do you express care when you?re with your Little? I ask him thoughtful questions and probe for his feelings/opinions on things. I also try to be present for him while we are together. How does your Little express care in the relationship? Is their approach different than your own? He shares stories with me and sometimes asks probing questions. I'd like to work at having a more open relationship with him, but for now I feel like he trusts me. Please respond after reading the Safety Reminder below: Personal Boundaries I have read &amp; understand the safety reminder. Do you have any updates you would like to share? (Life changes, moving, contact information updates, etc) No How else can I support you or your match? We're good for now as far as I know. MEC responded to BS via Text: Thank you Pam for completing the google form so quickly! I did have a check in with L_first_name last month and he shared how much fun he had doing the science experiments with you. Happy to hear that you ask L_first_name questions and are present when you spend time with him. Great to hear that L_first_name asks you questions and that he trust you! Thank you again Pam!</v>
          </cell>
          <cell r="E94" t="str">
            <v>Active</v>
          </cell>
          <cell r="F94" t="str">
            <v>0032J00003VeOWRQA3</v>
          </cell>
          <cell r="G94" t="str">
            <v>0032J00003YxSh5</v>
          </cell>
          <cell r="J94">
            <v>36</v>
          </cell>
          <cell r="K94" t="str">
            <v>Tech: Engineer</v>
          </cell>
          <cell r="L94" t="str">
            <v>No</v>
          </cell>
          <cell r="M94">
            <v>44260</v>
          </cell>
          <cell r="P94" t="str">
            <v>Female</v>
          </cell>
          <cell r="Q94">
            <v>32387</v>
          </cell>
          <cell r="R94" t="str">
            <v>Delta</v>
          </cell>
          <cell r="S94" t="str">
            <v>Virtual Match</v>
          </cell>
          <cell r="T94" t="str">
            <v>Community</v>
          </cell>
          <cell r="U94" t="str">
            <v>White or Caucasian;</v>
          </cell>
          <cell r="Y94" t="str">
            <v>1. Distance: 14 miles (18 mins) 2. Shared Traits: Both are friendly, talkative, polite, curious, energetic and respectful. 3. Shared Interests: Both love math, engineering, active outdoorsy, animals and trying new things. ***Both family and BS are open to cross-gender matching.</v>
          </cell>
          <cell r="Z94" t="str">
            <v>CB Volunteer Enrollment</v>
          </cell>
          <cell r="AA94">
            <v>44033</v>
          </cell>
          <cell r="AB94">
            <v>44034</v>
          </cell>
          <cell r="AE94">
            <v>14</v>
          </cell>
          <cell r="AH94">
            <v>0</v>
          </cell>
          <cell r="AO94">
            <v>43985</v>
          </cell>
          <cell r="AP94">
            <v>43986</v>
          </cell>
          <cell r="AR94" t="str">
            <v>Married</v>
          </cell>
          <cell r="AT94">
            <v>0</v>
          </cell>
          <cell r="AU94">
            <v>1</v>
          </cell>
          <cell r="AV94">
            <v>44000</v>
          </cell>
          <cell r="AX94">
            <v>44210</v>
          </cell>
          <cell r="AY94">
            <v>44233</v>
          </cell>
          <cell r="BG94" t="str">
            <v>Soccer and any kind of sports</v>
          </cell>
          <cell r="BK94" t="str">
            <v>Male</v>
          </cell>
          <cell r="BL94" t="str">
            <v>Black or African American</v>
          </cell>
          <cell r="BM94">
            <v>40969</v>
          </cell>
          <cell r="BN94">
            <v>271630710213</v>
          </cell>
          <cell r="BO94">
            <v>271230357001</v>
          </cell>
          <cell r="BQ94">
            <v>47.1</v>
          </cell>
        </row>
        <row r="95">
          <cell r="A95" t="str">
            <v>a1v2J000003Ef9jQAC</v>
          </cell>
          <cell r="B95">
            <v>44280</v>
          </cell>
          <cell r="C95">
            <v>44903</v>
          </cell>
          <cell r="D95" t="str">
            <v>Your name Pam B_last_name Little's name L_first_name L_last_name Approximately how many times has your match gotten together since your last check-in? (1 month for matches less than 1 year, 3 months for matches more than 1 year) 3-4 If you did not meet this month/quarter, do you know why? Do you and your Little's parent / guardian have a plan to have regular match outings again? I have a 6month old, so our meetings have been less frequent. We do plan regular meetings How long does your match typically spend together each outing? 2-3 hours What activities have you and your Little done together since our last check-in? What were some favorite moments from those outings? Any learning opportunities? Mostly visits at his home with craft/experiment activities and games. It's been too cold to be outside. We went to a corn maze before Halloween, too. How is your "Match Goal" coming along? If you don't have one yet, what is something your Little would like to work on? (Example: Learn how to ride a bike, Practice reading chapter books, Learn how to skateboard, raise your grades...etc) We haven't defined one, but we'll talk about making one for the new year. What is something that makes your Little "light up"? In other words, what is something that your Little is very interested in or gets really excited about? He loves to read and talk about the different books he's read. Have you ever made a connection between your Little and another resource or person in support of Little's goals? If so, what was it? If not, can you think of a connection you might be able to make? Not specifically. I happened to know his band teacher socially and we've discussed his situation/demeanor. She has been a good influence on him, too. Please respond after reading the Safety Reminder below: Policies on Movies, Video Games, Media, and the Internet I have read &amp; understand the safety reminder. Do you have any updates you would like to share? (Life changes, moving, contact information updates, etc) None at this time. How else can I support you or your match? Maybe not a you-level thing, but I often find we can't coordinate to attend match nights because the announcement email arrives in the same week as the event. Since we like to agree on activities together, the late notice events are difficult for me to coordinate. MEC responded to BS via Text: Good Morning Pam! I just read over your google form entry. Congratulations on your baby! I am happy to hear that you and L_first_name are seeing each other as often as you are! I understand it can be difficult to coordinate for our events. Here is the link to our calendar that is updated regularly! https://www.bigstwincities.org/calendar/ Please let me know if you have any questions!</v>
          </cell>
          <cell r="E95" t="str">
            <v>Active</v>
          </cell>
          <cell r="F95" t="str">
            <v>0032J00003VeOWRQA3</v>
          </cell>
          <cell r="G95" t="str">
            <v>0032J00003YxSh5</v>
          </cell>
          <cell r="J95">
            <v>36</v>
          </cell>
          <cell r="K95" t="str">
            <v>Tech: Engineer</v>
          </cell>
          <cell r="L95" t="str">
            <v>No</v>
          </cell>
          <cell r="M95">
            <v>44260</v>
          </cell>
          <cell r="P95" t="str">
            <v>Female</v>
          </cell>
          <cell r="Q95">
            <v>32387</v>
          </cell>
          <cell r="R95" t="str">
            <v>Delta</v>
          </cell>
          <cell r="S95" t="str">
            <v>Virtual Match</v>
          </cell>
          <cell r="T95" t="str">
            <v>Community</v>
          </cell>
          <cell r="U95" t="str">
            <v>White or Caucasian;</v>
          </cell>
          <cell r="Y95" t="str">
            <v>1. Distance: 14 miles (18 mins) 2. Shared Traits: Both are friendly, talkative, polite, curious, energetic and respectful. 3. Shared Interests: Both love math, engineering, active outdoorsy, animals and trying new things. ***Both family and BS are open to cross-gender matching.</v>
          </cell>
          <cell r="Z95" t="str">
            <v>CB Volunteer Enrollment</v>
          </cell>
          <cell r="AA95">
            <v>44033</v>
          </cell>
          <cell r="AB95">
            <v>44034</v>
          </cell>
          <cell r="AE95">
            <v>14</v>
          </cell>
          <cell r="AH95">
            <v>0</v>
          </cell>
          <cell r="AO95">
            <v>43985</v>
          </cell>
          <cell r="AP95">
            <v>43986</v>
          </cell>
          <cell r="AR95" t="str">
            <v>Married</v>
          </cell>
          <cell r="AT95">
            <v>0</v>
          </cell>
          <cell r="AU95">
            <v>1</v>
          </cell>
          <cell r="AV95">
            <v>44000</v>
          </cell>
          <cell r="AX95">
            <v>44210</v>
          </cell>
          <cell r="AY95">
            <v>44233</v>
          </cell>
          <cell r="BG95" t="str">
            <v>Soccer and any kind of sports</v>
          </cell>
          <cell r="BK95" t="str">
            <v>Male</v>
          </cell>
          <cell r="BL95" t="str">
            <v>Black or African American</v>
          </cell>
          <cell r="BM95">
            <v>40969</v>
          </cell>
          <cell r="BN95">
            <v>271630710213</v>
          </cell>
          <cell r="BO95">
            <v>271230357001</v>
          </cell>
          <cell r="BQ95">
            <v>47.1</v>
          </cell>
        </row>
        <row r="96">
          <cell r="A96" t="str">
            <v>a1v2J000003Ef9jQAC</v>
          </cell>
          <cell r="B96">
            <v>44280</v>
          </cell>
          <cell r="C96">
            <v>44811</v>
          </cell>
          <cell r="D96" t="str">
            <v>MEC asked if BS has time for a check in. BS said she does. MEC asked how things are going with LB and BS. BS said that things are good and that she saw LB before he left for a trip and then they saw each other last week to catch up and see how his trip was. MEC said that is great. MEC asked how communication is going with PG. BS said that things are going good overall. MEC said that is good to hear. MEC asked if BS has any questions or anything else to add. BS said no. MEC did mention the bowling event through BBBS. BS said that sounds like fun and she will talk to PG and LB to see if he is free and would like to go. MEC said that is great and thanked BS for speaking to MEC for a check in.</v>
          </cell>
          <cell r="E96" t="str">
            <v>Active</v>
          </cell>
          <cell r="F96" t="str">
            <v>0032J00003VeOWRQA3</v>
          </cell>
          <cell r="G96" t="str">
            <v>0032J00003YxSh5</v>
          </cell>
          <cell r="J96">
            <v>36</v>
          </cell>
          <cell r="K96" t="str">
            <v>Tech: Engineer</v>
          </cell>
          <cell r="L96" t="str">
            <v>No</v>
          </cell>
          <cell r="M96">
            <v>44260</v>
          </cell>
          <cell r="P96" t="str">
            <v>Female</v>
          </cell>
          <cell r="Q96">
            <v>32387</v>
          </cell>
          <cell r="R96" t="str">
            <v>Delta</v>
          </cell>
          <cell r="S96" t="str">
            <v>Virtual Match</v>
          </cell>
          <cell r="T96" t="str">
            <v>Community</v>
          </cell>
          <cell r="U96" t="str">
            <v>White or Caucasian;</v>
          </cell>
          <cell r="Y96" t="str">
            <v>1. Distance: 14 miles (18 mins) 2. Shared Traits: Both are friendly, talkative, polite, curious, energetic and respectful. 3. Shared Interests: Both love math, engineering, active outdoorsy, animals and trying new things. ***Both family and BS are open to cross-gender matching.</v>
          </cell>
          <cell r="Z96" t="str">
            <v>CB Volunteer Enrollment</v>
          </cell>
          <cell r="AA96">
            <v>44033</v>
          </cell>
          <cell r="AB96">
            <v>44034</v>
          </cell>
          <cell r="AE96">
            <v>14</v>
          </cell>
          <cell r="AH96">
            <v>0</v>
          </cell>
          <cell r="AO96">
            <v>43985</v>
          </cell>
          <cell r="AP96">
            <v>43986</v>
          </cell>
          <cell r="AR96" t="str">
            <v>Married</v>
          </cell>
          <cell r="AT96">
            <v>0</v>
          </cell>
          <cell r="AU96">
            <v>1</v>
          </cell>
          <cell r="AV96">
            <v>44000</v>
          </cell>
          <cell r="AX96">
            <v>44210</v>
          </cell>
          <cell r="AY96">
            <v>44233</v>
          </cell>
          <cell r="BG96" t="str">
            <v>Soccer and any kind of sports</v>
          </cell>
          <cell r="BK96" t="str">
            <v>Male</v>
          </cell>
          <cell r="BL96" t="str">
            <v>Black or African American</v>
          </cell>
          <cell r="BM96">
            <v>40969</v>
          </cell>
          <cell r="BN96">
            <v>271630710213</v>
          </cell>
          <cell r="BO96">
            <v>271230357001</v>
          </cell>
          <cell r="BQ96">
            <v>47.1</v>
          </cell>
        </row>
        <row r="97">
          <cell r="A97" t="str">
            <v>a1v2J000003Ef9jQAC</v>
          </cell>
          <cell r="B97">
            <v>44280</v>
          </cell>
          <cell r="C97">
            <v>44630</v>
          </cell>
          <cell r="D97" t="str">
            <v>MEC asked BS how her match has been going since the last time they spoke. BS said that things are going good. MEC said that is great and asked when was the last time they saw each other. BS said they saw each other Sunday. MEC asked what they did. BS said that she brought her dog and LB went on a long walk. MEC said that sounds like fun. MEC asked what kind of dog does BS have. She said she has a German Shepard mix. MEC said she always wanted a German Shepard but MEC has a golden doodle. BS said she really likes dogs. MEC said she does too. MEC asked if she knows what LB wants to be when he grows up and BS said he wants to be a architect. MEC said that's great that he has an idea of what he wants to be. BS said it is. MEC asked if BS has any questions for her and BS said no. MEC said okay and that she will contact BS in 3 months for another check in. BS said sounds great.</v>
          </cell>
          <cell r="E97" t="str">
            <v>Active</v>
          </cell>
          <cell r="F97" t="str">
            <v>0032J00003VeOWRQA3</v>
          </cell>
          <cell r="G97" t="str">
            <v>0032J00003YxSh5</v>
          </cell>
          <cell r="J97">
            <v>36</v>
          </cell>
          <cell r="K97" t="str">
            <v>Tech: Engineer</v>
          </cell>
          <cell r="L97" t="str">
            <v>No</v>
          </cell>
          <cell r="M97">
            <v>44260</v>
          </cell>
          <cell r="P97" t="str">
            <v>Female</v>
          </cell>
          <cell r="Q97">
            <v>32387</v>
          </cell>
          <cell r="R97" t="str">
            <v>Delta</v>
          </cell>
          <cell r="S97" t="str">
            <v>Virtual Match</v>
          </cell>
          <cell r="T97" t="str">
            <v>Community</v>
          </cell>
          <cell r="U97" t="str">
            <v>White or Caucasian;</v>
          </cell>
          <cell r="Y97" t="str">
            <v>1. Distance: 14 miles (18 mins) 2. Shared Traits: Both are friendly, talkative, polite, curious, energetic and respectful. 3. Shared Interests: Both love math, engineering, active outdoorsy, animals and trying new things. ***Both family and BS are open to cross-gender matching.</v>
          </cell>
          <cell r="Z97" t="str">
            <v>CB Volunteer Enrollment</v>
          </cell>
          <cell r="AA97">
            <v>44033</v>
          </cell>
          <cell r="AB97">
            <v>44034</v>
          </cell>
          <cell r="AE97">
            <v>14</v>
          </cell>
          <cell r="AH97">
            <v>0</v>
          </cell>
          <cell r="AO97">
            <v>43985</v>
          </cell>
          <cell r="AP97">
            <v>43986</v>
          </cell>
          <cell r="AR97" t="str">
            <v>Married</v>
          </cell>
          <cell r="AT97">
            <v>0</v>
          </cell>
          <cell r="AU97">
            <v>1</v>
          </cell>
          <cell r="AV97">
            <v>44000</v>
          </cell>
          <cell r="AX97">
            <v>44210</v>
          </cell>
          <cell r="AY97">
            <v>44233</v>
          </cell>
          <cell r="BG97" t="str">
            <v>Soccer and any kind of sports</v>
          </cell>
          <cell r="BK97" t="str">
            <v>Male</v>
          </cell>
          <cell r="BL97" t="str">
            <v>Black or African American</v>
          </cell>
          <cell r="BM97">
            <v>40969</v>
          </cell>
          <cell r="BN97">
            <v>271630710213</v>
          </cell>
          <cell r="BO97">
            <v>271230357001</v>
          </cell>
          <cell r="BQ97">
            <v>47.1</v>
          </cell>
        </row>
        <row r="98">
          <cell r="A98" t="str">
            <v>a1v2J000003Ef9jQAC</v>
          </cell>
          <cell r="B98">
            <v>44280</v>
          </cell>
          <cell r="C98">
            <v>44718</v>
          </cell>
          <cell r="D98" t="str">
            <v>MEC asked how things are going with BS and LB since they last spoke in March. BS said that things are going well and that there have been some changes. BS said she has a 2 week old baby and that she saw LB 3 times last month which wasn't as much as they normally do. BS said that last week LB and PG went to meet BS baby son and they had a blast getting to a new stage in her life. MEC said congratulations on having a baby and it is amazing that PG and LB got to meet BS baby and they get to go through this stage together. MEC said that since they are over 1 year together they only have to see each other 1 a month but if they see each other more than that, that is great. BS said great to know and that LB and her like to see each other as much as they can. MEC said that is great to hear. MEC asked if LB has any questions, concerns or anything else she would like to share with MEC. BS said that LB is going to Nigeria to visit his older sister and dad. MEC said that must be so exciting for him to see family. BS said it is and that LB hasn't seen his father or sister since 2018. MEC said it will be a great reunion for him. BS said it will be. MEC asked if BS has talked to PG about staying in touch while LB is gone. MEC said that they don't need to do virtual hang outs since it will be LB first time seeing his dad and sister in years but maybe being penpalls but through email, MEC also said that they could use WhatsApp to try and stay in touch. BS said she will talk to PG since she is staying back but she never thought about staying in touch with LB while he was gone so she will talk to PG sometime this week to figure something out. MEC said that sounds like a great plan and MEC is always here if she needs help or has any questions.</v>
          </cell>
          <cell r="E98" t="str">
            <v>Active</v>
          </cell>
          <cell r="F98" t="str">
            <v>0032J00003VeOWRQA3</v>
          </cell>
          <cell r="G98" t="str">
            <v>0032J00003YxSh5</v>
          </cell>
          <cell r="J98">
            <v>36</v>
          </cell>
          <cell r="K98" t="str">
            <v>Tech: Engineer</v>
          </cell>
          <cell r="L98" t="str">
            <v>No</v>
          </cell>
          <cell r="M98">
            <v>44260</v>
          </cell>
          <cell r="P98" t="str">
            <v>Female</v>
          </cell>
          <cell r="Q98">
            <v>32387</v>
          </cell>
          <cell r="R98" t="str">
            <v>Delta</v>
          </cell>
          <cell r="S98" t="str">
            <v>Virtual Match</v>
          </cell>
          <cell r="T98" t="str">
            <v>Community</v>
          </cell>
          <cell r="U98" t="str">
            <v>White or Caucasian;</v>
          </cell>
          <cell r="Y98" t="str">
            <v>1. Distance: 14 miles (18 mins) 2. Shared Traits: Both are friendly, talkative, polite, curious, energetic and respectful. 3. Shared Interests: Both love math, engineering, active outdoorsy, animals and trying new things. ***Both family and BS are open to cross-gender matching.</v>
          </cell>
          <cell r="Z98" t="str">
            <v>CB Volunteer Enrollment</v>
          </cell>
          <cell r="AA98">
            <v>44033</v>
          </cell>
          <cell r="AB98">
            <v>44034</v>
          </cell>
          <cell r="AE98">
            <v>14</v>
          </cell>
          <cell r="AH98">
            <v>0</v>
          </cell>
          <cell r="AO98">
            <v>43985</v>
          </cell>
          <cell r="AP98">
            <v>43986</v>
          </cell>
          <cell r="AR98" t="str">
            <v>Married</v>
          </cell>
          <cell r="AT98">
            <v>0</v>
          </cell>
          <cell r="AU98">
            <v>1</v>
          </cell>
          <cell r="AV98">
            <v>44000</v>
          </cell>
          <cell r="AX98">
            <v>44210</v>
          </cell>
          <cell r="AY98">
            <v>44233</v>
          </cell>
          <cell r="BG98" t="str">
            <v>Soccer and any kind of sports</v>
          </cell>
          <cell r="BK98" t="str">
            <v>Male</v>
          </cell>
          <cell r="BL98" t="str">
            <v>Black or African American</v>
          </cell>
          <cell r="BM98">
            <v>40969</v>
          </cell>
          <cell r="BN98">
            <v>271630710213</v>
          </cell>
          <cell r="BO98">
            <v>271230357001</v>
          </cell>
          <cell r="BQ98">
            <v>47.1</v>
          </cell>
        </row>
        <row r="99">
          <cell r="A99" t="str">
            <v>a1v2J000003Ef9jQAC</v>
          </cell>
          <cell r="B99">
            <v>44280</v>
          </cell>
          <cell r="C99">
            <v>44617</v>
          </cell>
          <cell r="D99" t="str">
            <v>MEC introduced herself to BS and asked BS how her match with LB is going. BS said that it is going good, LB is a great kid and that they like to do outdoor activities. MEC said that's great. MEC asked how often does she see LB on average in a month. BS said that they see each other 3 times a month and they try to see each other 1 a week. MEC said that is great that they have a schedule that it works out. BS said yeah. MEC asked if BS has anything else to share with MEC. BS said that LB sometimes looses focus and isn't aware of his surroundings. MEC asked if she could go a little bit more into detail. BS said that last time they saw each other BS partner joined them and they went to an ice castle place. BS said that LB grabbed some snow or ice and threw it and BSs partners face without warning and it hit partner in the face. BS said that she and her partner talked about how to talk to LB and come from a calm place and not get angry. MEC asked if BS partner is okay. BS yes he is totally fine but BS has noticed that this summer LBs neighbor has a pool and they went and she noticed that LB will throw water or things at other kids without telling them in advance. MEC asked if she could tell it is intentional or unintentional. BS said it is unintentional but she doesn't have children so she doesn't know how to go about it. MEC recommends that maybe talk to LB and put him in the perspective of BS partner with the ice thrown in his face or any other scenario and how it would make LB feel. MEC said that could possibly show him how he would feel being in the other persons shoes. BS said she will try to do that. MEC asked if BS has brought this up to PG. BS said she has noticed PG discipline LB and LB automatically shuts down and BS wants to talk to LB and not have him shut down. MEC said that is understandable and maybe to talk to LB from a safe place and put LB in other peoples shoes and see if that helps. MEC said if that doesn't help MEC will talk to coworkers and see if there is a resource MEC can offer. BS said that would be great because she doesn't have a child and doesn't know how to go about it. MEC said she totally understands she also doesn't have a child. MEC said if she notices the talk with LB doesn't work to let MEC know and she will find another way to talk to LB. BS said she will let MEC know how the talk goes. MEC said thank you. MEC asked if BS has any questions for MEC. BS said no and that BS is pregnant and is expecting this summer and she hopes it doesn't change the match she has with LB. MEC said congratulations and asked if LB and PG know. BS said she did tell PG and LB so they know. MEC said that's great.</v>
          </cell>
          <cell r="E99" t="str">
            <v>Active</v>
          </cell>
          <cell r="F99" t="str">
            <v>0032J00003VeOWRQA3</v>
          </cell>
          <cell r="G99" t="str">
            <v>0032J00003YxSh5</v>
          </cell>
          <cell r="J99">
            <v>36</v>
          </cell>
          <cell r="K99" t="str">
            <v>Tech: Engineer</v>
          </cell>
          <cell r="L99" t="str">
            <v>No</v>
          </cell>
          <cell r="M99">
            <v>44260</v>
          </cell>
          <cell r="P99" t="str">
            <v>Female</v>
          </cell>
          <cell r="Q99">
            <v>32387</v>
          </cell>
          <cell r="R99" t="str">
            <v>Delta</v>
          </cell>
          <cell r="S99" t="str">
            <v>Virtual Match</v>
          </cell>
          <cell r="T99" t="str">
            <v>Community</v>
          </cell>
          <cell r="U99" t="str">
            <v>White or Caucasian;</v>
          </cell>
          <cell r="Y99" t="str">
            <v>1. Distance: 14 miles (18 mins) 2. Shared Traits: Both are friendly, talkative, polite, curious, energetic and respectful. 3. Shared Interests: Both love math, engineering, active outdoorsy, animals and trying new things. ***Both family and BS are open to cross-gender matching.</v>
          </cell>
          <cell r="Z99" t="str">
            <v>CB Volunteer Enrollment</v>
          </cell>
          <cell r="AA99">
            <v>44033</v>
          </cell>
          <cell r="AB99">
            <v>44034</v>
          </cell>
          <cell r="AE99">
            <v>14</v>
          </cell>
          <cell r="AH99">
            <v>0</v>
          </cell>
          <cell r="AO99">
            <v>43985</v>
          </cell>
          <cell r="AP99">
            <v>43986</v>
          </cell>
          <cell r="AR99" t="str">
            <v>Married</v>
          </cell>
          <cell r="AT99">
            <v>0</v>
          </cell>
          <cell r="AU99">
            <v>1</v>
          </cell>
          <cell r="AV99">
            <v>44000</v>
          </cell>
          <cell r="AX99">
            <v>44210</v>
          </cell>
          <cell r="AY99">
            <v>44233</v>
          </cell>
          <cell r="BG99" t="str">
            <v>Soccer and any kind of sports</v>
          </cell>
          <cell r="BK99" t="str">
            <v>Male</v>
          </cell>
          <cell r="BL99" t="str">
            <v>Black or African American</v>
          </cell>
          <cell r="BM99">
            <v>40969</v>
          </cell>
          <cell r="BN99">
            <v>271630710213</v>
          </cell>
          <cell r="BO99">
            <v>271230357001</v>
          </cell>
          <cell r="BQ99">
            <v>47.1</v>
          </cell>
        </row>
        <row r="100">
          <cell r="A100" t="str">
            <v>a1v2J000003Ef9jQAC</v>
          </cell>
          <cell r="B100">
            <v>44280</v>
          </cell>
          <cell r="C100">
            <v>44592</v>
          </cell>
          <cell r="D100" t="str">
            <v>MEC called BS for a check in MEC introduced herself and asked BS to share a little bit about her match. BS said they were matched last year during Covid and that her LB is 9 years old. BS said that LB is a great kid, super hipper active, looses focus fast and loved to participate in activities. MEC said its great that LB is great and MEC asked how many times do they meet a month. BS said they meet 1 a week or every other week. MEC said its good that they are seeing each other regularly. BS said that LB and his little sister do activities around the house of LB. BS also said that BS partner joins her for activities. MEC asked how many times does BS partner join and she said he's only joined twice. MEC asked how many times does LB sister join them. BS said she joins a couples times but only when her partner joins. BS clarified saying that it doesn't happen often but LB sister is 4 years old and she doesn't get out of the house much. BS also said that she is 5 months pregnant. MEC said congrats and that's so exciting. MEC asked how is the communication with LB and PG. BS said that she talks to PG first then with LB. BS informs PG the day before she is picking up LB to remind mom of the meet up. MEC said its great to keep mom in the group. MEC asked if there is anything BS needs from MEC. BS asked how the requirements change after being matched for a year. MEC said after they reach a year check-ins are every 3 months and BS and LB meet up 1 a month or more if they decide. BS said great. MEC asked when was the last time LB and BS got together. BS said they got together Saturday and did a science experiment. MEC said that sounds like a blast! BS said she and LB really enjoyed it. MEC said that she will reach out at the beginning of the month as a reminder of the check-in.</v>
          </cell>
          <cell r="E100" t="str">
            <v>Active</v>
          </cell>
          <cell r="F100" t="str">
            <v>0032J00003VeOWRQA3</v>
          </cell>
          <cell r="G100" t="str">
            <v>0032J00003YxSh5</v>
          </cell>
          <cell r="J100">
            <v>36</v>
          </cell>
          <cell r="K100" t="str">
            <v>Tech: Engineer</v>
          </cell>
          <cell r="L100" t="str">
            <v>No</v>
          </cell>
          <cell r="M100">
            <v>44260</v>
          </cell>
          <cell r="P100" t="str">
            <v>Female</v>
          </cell>
          <cell r="Q100">
            <v>32387</v>
          </cell>
          <cell r="R100" t="str">
            <v>Delta</v>
          </cell>
          <cell r="S100" t="str">
            <v>Virtual Match</v>
          </cell>
          <cell r="T100" t="str">
            <v>Community</v>
          </cell>
          <cell r="U100" t="str">
            <v>White or Caucasian;</v>
          </cell>
          <cell r="Y100" t="str">
            <v>1. Distance: 14 miles (18 mins) 2. Shared Traits: Both are friendly, talkative, polite, curious, energetic and respectful. 3. Shared Interests: Both love math, engineering, active outdoorsy, animals and trying new things. ***Both family and BS are open to cross-gender matching.</v>
          </cell>
          <cell r="Z100" t="str">
            <v>CB Volunteer Enrollment</v>
          </cell>
          <cell r="AA100">
            <v>44033</v>
          </cell>
          <cell r="AB100">
            <v>44034</v>
          </cell>
          <cell r="AE100">
            <v>14</v>
          </cell>
          <cell r="AH100">
            <v>0</v>
          </cell>
          <cell r="AO100">
            <v>43985</v>
          </cell>
          <cell r="AP100">
            <v>43986</v>
          </cell>
          <cell r="AR100" t="str">
            <v>Married</v>
          </cell>
          <cell r="AT100">
            <v>0</v>
          </cell>
          <cell r="AU100">
            <v>1</v>
          </cell>
          <cell r="AV100">
            <v>44000</v>
          </cell>
          <cell r="AX100">
            <v>44210</v>
          </cell>
          <cell r="AY100">
            <v>44233</v>
          </cell>
          <cell r="BG100" t="str">
            <v>Soccer and any kind of sports</v>
          </cell>
          <cell r="BK100" t="str">
            <v>Male</v>
          </cell>
          <cell r="BL100" t="str">
            <v>Black or African American</v>
          </cell>
          <cell r="BM100">
            <v>40969</v>
          </cell>
          <cell r="BN100">
            <v>271630710213</v>
          </cell>
          <cell r="BO100">
            <v>271230357001</v>
          </cell>
          <cell r="BQ100">
            <v>47.1</v>
          </cell>
        </row>
        <row r="101">
          <cell r="A101" t="str">
            <v>a1v2J000003Ef9jQAC</v>
          </cell>
          <cell r="B101">
            <v>44280</v>
          </cell>
          <cell r="C101">
            <v>44541</v>
          </cell>
          <cell r="D101" t="str">
            <v>MEC reached out to all caseload Match Support Contacts due via email with a variety of communications and activity suggestions. Options to check in were given, including phone or setting up a meeting option, and online check in, and texting, and email. On 12/8/2020 Big completed online check in form:  Timestamp 12/8/2021 11:38:25 What is your Littles Name" L_first_name L_last_name What is your name? Pam B_last_name FOR MATCHES IN THEIR FIRST YEAR - How many times did your match meet last month (virtually or in person)? 4 FOR MATCHES POST 1 YEAR - How many times did your match meet last quarter? (virtually or in person). Please describe the amount and/or pattern. For example: About 1x monthly for 3 hours each. Please write NA if your match has been matched under 1 year. NA Please describe the most recent activities your match had and any highs/lows you experienced together. Most recently we went for a hike at the Lake Elmo park reserve. We talked about the lake and read some educational markers around the area as well as checking out the frozen lake. We also attended a match night last month that went really well for a variety of activities and interactions.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Staying engaged through the winter with fewer outdoor activity options. I have some ideas, but most involve admission fees and while I don't mind spending some money I'd rather not do so on a weekly basis. Has your Little expressed any goals they would like to accomplish next year? He talks about college and being on his own a lot, bit his aspirations change often. I'll make a point to discuss shorter term goals with him at our next meeting. In general, what strategies have you noticed Little employs when they?re reacting to stress? How might you help Little incorporate new self care strategies if they?re experiencing stress this time of year? He will either internalize or lash out in frustration. We are working on some mindfulness strategies to help with that. I understand the above rules &amp; guidelines. Do you have any updates you would like to share? (Life changes, moving, contact information updates, etc) I am pregnant with a due date of May 30. I have already brought this up with L_first_name and Aminah. We will probably meet less frequently next summer but they are supportive. Mentoring can be hard work! Is there any way I can help make your match more successful? I think we are okay for now. If I run short on indoor activity ideas, I'll reach out. This form will count as your monthly support check-in. Would you like me to schedule a follow-up phone conversation with you? Only if you have concerns about our activities and my pregnancy</v>
          </cell>
          <cell r="E101" t="str">
            <v>Active</v>
          </cell>
          <cell r="F101" t="str">
            <v>0032J00003VeOWRQA3</v>
          </cell>
          <cell r="G101" t="str">
            <v>0032J00003YxSh5</v>
          </cell>
          <cell r="J101">
            <v>36</v>
          </cell>
          <cell r="K101" t="str">
            <v>Tech: Engineer</v>
          </cell>
          <cell r="L101" t="str">
            <v>No</v>
          </cell>
          <cell r="M101">
            <v>44260</v>
          </cell>
          <cell r="P101" t="str">
            <v>Female</v>
          </cell>
          <cell r="Q101">
            <v>32387</v>
          </cell>
          <cell r="R101" t="str">
            <v>Delta</v>
          </cell>
          <cell r="S101" t="str">
            <v>Virtual Match</v>
          </cell>
          <cell r="T101" t="str">
            <v>Community</v>
          </cell>
          <cell r="U101" t="str">
            <v>White or Caucasian;</v>
          </cell>
          <cell r="Y101" t="str">
            <v>1. Distance: 14 miles (18 mins) 2. Shared Traits: Both are friendly, talkative, polite, curious, energetic and respectful. 3. Shared Interests: Both love math, engineering, active outdoorsy, animals and trying new things. ***Both family and BS are open to cross-gender matching.</v>
          </cell>
          <cell r="Z101" t="str">
            <v>CB Volunteer Enrollment</v>
          </cell>
          <cell r="AA101">
            <v>44033</v>
          </cell>
          <cell r="AB101">
            <v>44034</v>
          </cell>
          <cell r="AE101">
            <v>14</v>
          </cell>
          <cell r="AH101">
            <v>0</v>
          </cell>
          <cell r="AO101">
            <v>43985</v>
          </cell>
          <cell r="AP101">
            <v>43986</v>
          </cell>
          <cell r="AR101" t="str">
            <v>Married</v>
          </cell>
          <cell r="AT101">
            <v>0</v>
          </cell>
          <cell r="AU101">
            <v>1</v>
          </cell>
          <cell r="AV101">
            <v>44000</v>
          </cell>
          <cell r="AX101">
            <v>44210</v>
          </cell>
          <cell r="AY101">
            <v>44233</v>
          </cell>
          <cell r="BG101" t="str">
            <v>Soccer and any kind of sports</v>
          </cell>
          <cell r="BK101" t="str">
            <v>Male</v>
          </cell>
          <cell r="BL101" t="str">
            <v>Black or African American</v>
          </cell>
          <cell r="BM101">
            <v>40969</v>
          </cell>
          <cell r="BN101">
            <v>271630710213</v>
          </cell>
          <cell r="BO101">
            <v>271230357001</v>
          </cell>
          <cell r="BQ101">
            <v>47.1</v>
          </cell>
        </row>
        <row r="102">
          <cell r="A102" t="str">
            <v>a1v2J000003Ef9jQAC</v>
          </cell>
          <cell r="B102">
            <v>44280</v>
          </cell>
          <cell r="C102">
            <v>44358</v>
          </cell>
          <cell r="D102" t="str">
            <v>Match attended an in-person BBBS event Tour City Challenge at the State Capital and completed the in-person SCF: BBBS Question for Both: Is it easy for you to share your opinions or feelings with others? Who are people that you feel most comfortable sharing with Match responded: ?sometimes it?s hard but it depends how we?re feeling. Best/easiest with people we trust.? BBBS Question for Little: Today you learned a lot about MN hstory, what was the most interesting or shocking thing you saw today? How did it make you feel? Little Responded: ?Learned about the Korean war? BBBS Child safety policy reminder regarding involvement of family members/friends on match activities: Both accepted?no questions No request for MEC follow-up ?Big noted: ?we?re meeting regularly and are getting along pretty well?</v>
          </cell>
          <cell r="E102" t="str">
            <v>Active</v>
          </cell>
          <cell r="F102" t="str">
            <v>0032J00003VeOWRQA3</v>
          </cell>
          <cell r="G102" t="str">
            <v>0032J00003YxSh5</v>
          </cell>
          <cell r="J102">
            <v>36</v>
          </cell>
          <cell r="K102" t="str">
            <v>Tech: Engineer</v>
          </cell>
          <cell r="L102" t="str">
            <v>No</v>
          </cell>
          <cell r="M102">
            <v>44260</v>
          </cell>
          <cell r="P102" t="str">
            <v>Female</v>
          </cell>
          <cell r="Q102">
            <v>32387</v>
          </cell>
          <cell r="R102" t="str">
            <v>Delta</v>
          </cell>
          <cell r="S102" t="str">
            <v>Virtual Match</v>
          </cell>
          <cell r="T102" t="str">
            <v>Community</v>
          </cell>
          <cell r="U102" t="str">
            <v>White or Caucasian;</v>
          </cell>
          <cell r="Y102" t="str">
            <v>1. Distance: 14 miles (18 mins) 2. Shared Traits: Both are friendly, talkative, polite, curious, energetic and respectful. 3. Shared Interests: Both love math, engineering, active outdoorsy, animals and trying new things. ***Both family and BS are open to cross-gender matching.</v>
          </cell>
          <cell r="Z102" t="str">
            <v>CB Volunteer Enrollment</v>
          </cell>
          <cell r="AA102">
            <v>44033</v>
          </cell>
          <cell r="AB102">
            <v>44034</v>
          </cell>
          <cell r="AE102">
            <v>14</v>
          </cell>
          <cell r="AH102">
            <v>0</v>
          </cell>
          <cell r="AO102">
            <v>43985</v>
          </cell>
          <cell r="AP102">
            <v>43986</v>
          </cell>
          <cell r="AR102" t="str">
            <v>Married</v>
          </cell>
          <cell r="AT102">
            <v>0</v>
          </cell>
          <cell r="AU102">
            <v>1</v>
          </cell>
          <cell r="AV102">
            <v>44000</v>
          </cell>
          <cell r="AX102">
            <v>44210</v>
          </cell>
          <cell r="AY102">
            <v>44233</v>
          </cell>
          <cell r="BG102" t="str">
            <v>Soccer and any kind of sports</v>
          </cell>
          <cell r="BK102" t="str">
            <v>Male</v>
          </cell>
          <cell r="BL102" t="str">
            <v>Black or African American</v>
          </cell>
          <cell r="BM102">
            <v>40969</v>
          </cell>
          <cell r="BN102">
            <v>271630710213</v>
          </cell>
          <cell r="BO102">
            <v>271230357001</v>
          </cell>
          <cell r="BQ102">
            <v>47.1</v>
          </cell>
        </row>
        <row r="103">
          <cell r="A103" t="str">
            <v>a1v2J000003Ef9jQAC</v>
          </cell>
          <cell r="B103">
            <v>44280</v>
          </cell>
          <cell r="C103">
            <v>44347</v>
          </cell>
          <cell r="D103" t="str">
            <v>MEC reached out to all Bigs via email with a variety of communications. Options to check in were given, including drop in virtual time, phone or setting up a meeting option, online survey, and texting and email options. On 5/29/2021 MEC was able to reach Big via phone call and asked the following: ·          Give me one word that describes how your heart is doing today. How?s the match doing? ·          How would you describe your Little?s personal boundaries? ·          What are some of your favorite and least favorite things to do with your Little? ·          How does your Little interact with other children? How do they interact with adults they have never met? Has your Little mentioned being bullied or teased at school? ·          What kinds of activities would you like to see offered by BBBS? ·          What questions or concerns do you have for me?   Pam stated that she was on her way to drop off L_first_namel at his home. The match attended TCC at the state capital today. The match is doing well and Pam had no questions or concerns for MEC. LB L_first_name chimed in and said that he is really appreciative of the match and had a lot of fun at the state capital.</v>
          </cell>
          <cell r="E103" t="str">
            <v>Active</v>
          </cell>
          <cell r="F103" t="str">
            <v>0032J00003VeOWRQA3</v>
          </cell>
          <cell r="G103" t="str">
            <v>0032J00003YxSh5</v>
          </cell>
          <cell r="J103">
            <v>36</v>
          </cell>
          <cell r="K103" t="str">
            <v>Tech: Engineer</v>
          </cell>
          <cell r="L103" t="str">
            <v>No</v>
          </cell>
          <cell r="M103">
            <v>44260</v>
          </cell>
          <cell r="P103" t="str">
            <v>Female</v>
          </cell>
          <cell r="Q103">
            <v>32387</v>
          </cell>
          <cell r="R103" t="str">
            <v>Delta</v>
          </cell>
          <cell r="S103" t="str">
            <v>Virtual Match</v>
          </cell>
          <cell r="T103" t="str">
            <v>Community</v>
          </cell>
          <cell r="U103" t="str">
            <v>White or Caucasian;</v>
          </cell>
          <cell r="Y103" t="str">
            <v>1. Distance: 14 miles (18 mins) 2. Shared Traits: Both are friendly, talkative, polite, curious, energetic and respectful. 3. Shared Interests: Both love math, engineering, active outdoorsy, animals and trying new things. ***Both family and BS are open to cross-gender matching.</v>
          </cell>
          <cell r="Z103" t="str">
            <v>CB Volunteer Enrollment</v>
          </cell>
          <cell r="AA103">
            <v>44033</v>
          </cell>
          <cell r="AB103">
            <v>44034</v>
          </cell>
          <cell r="AE103">
            <v>14</v>
          </cell>
          <cell r="AH103">
            <v>0</v>
          </cell>
          <cell r="AO103">
            <v>43985</v>
          </cell>
          <cell r="AP103">
            <v>43986</v>
          </cell>
          <cell r="AR103" t="str">
            <v>Married</v>
          </cell>
          <cell r="AT103">
            <v>0</v>
          </cell>
          <cell r="AU103">
            <v>1</v>
          </cell>
          <cell r="AV103">
            <v>44000</v>
          </cell>
          <cell r="AX103">
            <v>44210</v>
          </cell>
          <cell r="AY103">
            <v>44233</v>
          </cell>
          <cell r="BG103" t="str">
            <v>Soccer and any kind of sports</v>
          </cell>
          <cell r="BK103" t="str">
            <v>Male</v>
          </cell>
          <cell r="BL103" t="str">
            <v>Black or African American</v>
          </cell>
          <cell r="BM103">
            <v>40969</v>
          </cell>
          <cell r="BN103">
            <v>271630710213</v>
          </cell>
          <cell r="BO103">
            <v>271230357001</v>
          </cell>
          <cell r="BQ103">
            <v>47.1</v>
          </cell>
        </row>
        <row r="104">
          <cell r="A104" t="str">
            <v>a1v2J000003Ef9jQAC</v>
          </cell>
          <cell r="B104">
            <v>44280</v>
          </cell>
          <cell r="C104">
            <v>44313</v>
          </cell>
          <cell r="D104" t="str">
            <v>Match registered for BBBS event: City T(our) Challenge at Minnehaha Falls hosted on 4/24/2021. Attended No First Name B_first_name Last Name B_last_name Email email_address Little L_first_name L_last_name How does your match decide what to do, and what events or activities do most like to do together? We have only met once, but we like to do outdoor activities. How does you Little share their opinions, likes, and dislikes? He is not shy about being bored with an activity or what he wants to do. How many times have you connected with your Little (in-person or virtually) since your last contact? 1 How many hours does you match usually spend together? 2-3 hours Child Safety Policy Reminder- Sickness &amp;amp; Injury accepted This registration counts as your required monthly/quarterly contact with BBBS. Do you need a follow up from your Match Engagement Coordinator to address any questions regarding your match Yes, but it's not urget. MEC followed up with everyone in the match via email: Greetings Aminah, L_first_name, &amp; B_first_name,   I noticed that L_first_name and B_first_name were unable to attend the BBBS event: T(OUR) City Challenge at Minnehaha Falls this past weekend and I hope the match will be able to join one of our other upcoming BBBS events, please check out our BBBS April Newsletters for our upcoming virtual and in-person events that may be of interest as well as tons of other information?below are both the April Newsletters: ·          BBBS Bigs April Newsletter ·          BBBS Parents/Caregivers April Newsletter Please reach out as needed!   Happy Tuesday! :)</v>
          </cell>
          <cell r="E104" t="str">
            <v>Active</v>
          </cell>
          <cell r="F104" t="str">
            <v>0032J00003VeOWRQA3</v>
          </cell>
          <cell r="G104" t="str">
            <v>0032J00003YxSh5</v>
          </cell>
          <cell r="J104">
            <v>36</v>
          </cell>
          <cell r="K104" t="str">
            <v>Tech: Engineer</v>
          </cell>
          <cell r="L104" t="str">
            <v>No</v>
          </cell>
          <cell r="M104">
            <v>44260</v>
          </cell>
          <cell r="P104" t="str">
            <v>Female</v>
          </cell>
          <cell r="Q104">
            <v>32387</v>
          </cell>
          <cell r="R104" t="str">
            <v>Delta</v>
          </cell>
          <cell r="S104" t="str">
            <v>Virtual Match</v>
          </cell>
          <cell r="T104" t="str">
            <v>Community</v>
          </cell>
          <cell r="U104" t="str">
            <v>White or Caucasian;</v>
          </cell>
          <cell r="Y104" t="str">
            <v>1. Distance: 14 miles (18 mins) 2. Shared Traits: Both are friendly, talkative, polite, curious, energetic and respectful. 3. Shared Interests: Both love math, engineering, active outdoorsy, animals and trying new things. ***Both family and BS are open to cross-gender matching.</v>
          </cell>
          <cell r="Z104" t="str">
            <v>CB Volunteer Enrollment</v>
          </cell>
          <cell r="AA104">
            <v>44033</v>
          </cell>
          <cell r="AB104">
            <v>44034</v>
          </cell>
          <cell r="AE104">
            <v>14</v>
          </cell>
          <cell r="AH104">
            <v>0</v>
          </cell>
          <cell r="AO104">
            <v>43985</v>
          </cell>
          <cell r="AP104">
            <v>43986</v>
          </cell>
          <cell r="AR104" t="str">
            <v>Married</v>
          </cell>
          <cell r="AT104">
            <v>0</v>
          </cell>
          <cell r="AU104">
            <v>1</v>
          </cell>
          <cell r="AV104">
            <v>44000</v>
          </cell>
          <cell r="AX104">
            <v>44210</v>
          </cell>
          <cell r="AY104">
            <v>44233</v>
          </cell>
          <cell r="BG104" t="str">
            <v>Soccer and any kind of sports</v>
          </cell>
          <cell r="BK104" t="str">
            <v>Male</v>
          </cell>
          <cell r="BL104" t="str">
            <v>Black or African American</v>
          </cell>
          <cell r="BM104">
            <v>40969</v>
          </cell>
          <cell r="BN104">
            <v>271630710213</v>
          </cell>
          <cell r="BO104">
            <v>271230357001</v>
          </cell>
          <cell r="BQ104">
            <v>47.1</v>
          </cell>
        </row>
        <row r="105">
          <cell r="A105" t="str">
            <v>a1v2J000003Ef9jQAC</v>
          </cell>
          <cell r="B105">
            <v>44280</v>
          </cell>
          <cell r="C105">
            <v>44491</v>
          </cell>
          <cell r="D105" t="str">
            <v>MEC reached out to all Bigs via email with a variety of communications. Options to check in were given, including drop in virtual time, phone or setting up a meeting option, online survey, and texting and email options. Big completed online check in form: Timestamp 10/22/2021 21:54:42 Email Address email_address Please enter your first and last name. Pam B_last_name With your best guess, how many hours did you spend with your Little this last month? 5+ Briefly describe your recent match happenings, what'd you do, how'd it go, any concerns, etc.: Last weekend we carved pumpkins. L_first_name had never done this before and really enjoyed it. It went well. No concerns at this time. Which of these characteristics do you find yourself incorporating the most in your match? How do you personally model expressing care when you?re with your Little? Be dependable What is the hardest thing about being a Big? Staying energetic enough to keep up with him I understand and agree to these rules and guidelines. Is there anything I can do for you or your match at this time? I think we are doing okay at this time This form will count as your monthly support check in. Would you like Raquel, your Match Engagement Coordinator to check in separately with you? No</v>
          </cell>
          <cell r="E105" t="str">
            <v>Active</v>
          </cell>
          <cell r="F105" t="str">
            <v>0032J00003VeOWRQA3</v>
          </cell>
          <cell r="G105" t="str">
            <v>0032J00003YxSh5</v>
          </cell>
          <cell r="J105">
            <v>36</v>
          </cell>
          <cell r="K105" t="str">
            <v>Tech: Engineer</v>
          </cell>
          <cell r="L105" t="str">
            <v>No</v>
          </cell>
          <cell r="M105">
            <v>44260</v>
          </cell>
          <cell r="P105" t="str">
            <v>Female</v>
          </cell>
          <cell r="Q105">
            <v>32387</v>
          </cell>
          <cell r="R105" t="str">
            <v>Delta</v>
          </cell>
          <cell r="S105" t="str">
            <v>Virtual Match</v>
          </cell>
          <cell r="T105" t="str">
            <v>Community</v>
          </cell>
          <cell r="U105" t="str">
            <v>White or Caucasian;</v>
          </cell>
          <cell r="Y105" t="str">
            <v>1. Distance: 14 miles (18 mins) 2. Shared Traits: Both are friendly, talkative, polite, curious, energetic and respectful. 3. Shared Interests: Both love math, engineering, active outdoorsy, animals and trying new things. ***Both family and BS are open to cross-gender matching.</v>
          </cell>
          <cell r="Z105" t="str">
            <v>CB Volunteer Enrollment</v>
          </cell>
          <cell r="AA105">
            <v>44033</v>
          </cell>
          <cell r="AB105">
            <v>44034</v>
          </cell>
          <cell r="AE105">
            <v>14</v>
          </cell>
          <cell r="AH105">
            <v>0</v>
          </cell>
          <cell r="AO105">
            <v>43985</v>
          </cell>
          <cell r="AP105">
            <v>43986</v>
          </cell>
          <cell r="AR105" t="str">
            <v>Married</v>
          </cell>
          <cell r="AT105">
            <v>0</v>
          </cell>
          <cell r="AU105">
            <v>1</v>
          </cell>
          <cell r="AV105">
            <v>44000</v>
          </cell>
          <cell r="AX105">
            <v>44210</v>
          </cell>
          <cell r="AY105">
            <v>44233</v>
          </cell>
          <cell r="BG105" t="str">
            <v>Soccer and any kind of sports</v>
          </cell>
          <cell r="BK105" t="str">
            <v>Male</v>
          </cell>
          <cell r="BL105" t="str">
            <v>Black or African American</v>
          </cell>
          <cell r="BM105">
            <v>40969</v>
          </cell>
          <cell r="BN105">
            <v>271630710213</v>
          </cell>
          <cell r="BO105">
            <v>271230357001</v>
          </cell>
          <cell r="BQ105">
            <v>47.1</v>
          </cell>
        </row>
        <row r="106">
          <cell r="A106" t="str">
            <v>a1v2J000003Ef9jQAC</v>
          </cell>
          <cell r="B106">
            <v>44280</v>
          </cell>
          <cell r="C106">
            <v>44464</v>
          </cell>
          <cell r="D106" t="str">
            <v>Big Completed SCF for MOA--BBBS Event and also texted MEC: First Name B_first_name Last Name B_last_name Email email_address Cell Phone phone_number Who is your Match Engagement Coordinator? Raquel C. What is your Little's first and last name? L_first_name L_last_name Think of a time when you and your Little had a difficult conversation. How did you feel during the conversation, and what did you learn? -OR- What's a topic that would challenging for your match to discuss and how could you prepare for yourself for it? I had a tough time explaining bicycle safety to L_first_name. He did something when we were out biking that scared me and I didn't explain myself well. I would be more calm and careful discussing safety in our activities in the future. How does you Little share their opinions, likes, and dislikes? He is very open about what he likes. He doesn't always immediately share, but if I ask questions he usually shares easily How many times have you connected with your Little (in-person or virtually) since your last contact? 1 How many hours does you match usually spend together? 4+ hours Child Safety Policy Reminder- Sickness &amp;amp; Injury accepted This registration counts as your required monthly/quarterly contact with BBBS. Do you need a follow up from your Match Engagement Coordinator to address any questions regarding your match No MEC followed up via SMS: Hey B_first_name, just a quick reminder to check your email for additional details about Saturday's BBBS event. There is a link to a waiver that will need to be signed by Aminah. Thank you! Hope you and L_first_name have tons of fun &amp;#128578; Big responded: Sounds like a plan, we're all set, thanks!</v>
          </cell>
          <cell r="E106" t="str">
            <v>Active</v>
          </cell>
          <cell r="F106" t="str">
            <v>0032J00003VeOWRQA3</v>
          </cell>
          <cell r="G106" t="str">
            <v>0032J00003YxSh5</v>
          </cell>
          <cell r="J106">
            <v>36</v>
          </cell>
          <cell r="K106" t="str">
            <v>Tech: Engineer</v>
          </cell>
          <cell r="L106" t="str">
            <v>No</v>
          </cell>
          <cell r="M106">
            <v>44260</v>
          </cell>
          <cell r="P106" t="str">
            <v>Female</v>
          </cell>
          <cell r="Q106">
            <v>32387</v>
          </cell>
          <cell r="R106" t="str">
            <v>Delta</v>
          </cell>
          <cell r="S106" t="str">
            <v>Virtual Match</v>
          </cell>
          <cell r="T106" t="str">
            <v>Community</v>
          </cell>
          <cell r="U106" t="str">
            <v>White or Caucasian;</v>
          </cell>
          <cell r="Y106" t="str">
            <v>1. Distance: 14 miles (18 mins) 2. Shared Traits: Both are friendly, talkative, polite, curious, energetic and respectful. 3. Shared Interests: Both love math, engineering, active outdoorsy, animals and trying new things. ***Both family and BS are open to cross-gender matching.</v>
          </cell>
          <cell r="Z106" t="str">
            <v>CB Volunteer Enrollment</v>
          </cell>
          <cell r="AA106">
            <v>44033</v>
          </cell>
          <cell r="AB106">
            <v>44034</v>
          </cell>
          <cell r="AE106">
            <v>14</v>
          </cell>
          <cell r="AH106">
            <v>0</v>
          </cell>
          <cell r="AO106">
            <v>43985</v>
          </cell>
          <cell r="AP106">
            <v>43986</v>
          </cell>
          <cell r="AR106" t="str">
            <v>Married</v>
          </cell>
          <cell r="AT106">
            <v>0</v>
          </cell>
          <cell r="AU106">
            <v>1</v>
          </cell>
          <cell r="AV106">
            <v>44000</v>
          </cell>
          <cell r="AX106">
            <v>44210</v>
          </cell>
          <cell r="AY106">
            <v>44233</v>
          </cell>
          <cell r="BG106" t="str">
            <v>Soccer and any kind of sports</v>
          </cell>
          <cell r="BK106" t="str">
            <v>Male</v>
          </cell>
          <cell r="BL106" t="str">
            <v>Black or African American</v>
          </cell>
          <cell r="BM106">
            <v>40969</v>
          </cell>
          <cell r="BN106">
            <v>271630710213</v>
          </cell>
          <cell r="BO106">
            <v>271230357001</v>
          </cell>
          <cell r="BQ106">
            <v>47.1</v>
          </cell>
        </row>
        <row r="107">
          <cell r="A107" t="str">
            <v>a1v2J000003Ef9jQAC</v>
          </cell>
          <cell r="B107">
            <v>44280</v>
          </cell>
          <cell r="C107">
            <v>44442</v>
          </cell>
          <cell r="D107" t="str">
            <v>MEC reached out to all Bigs via email with a variety of communications. Options to check in were given, including drop in virtual time, phone or setting up a meeting option, online survey, and texting and email options. On 9/1/2021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Pam stated that she?s well and recently started a new job. The match has been good, she?s been meeting with L_first_name pretty consistently every 2 weeks but this may change with her new job due to availability changing but she?ll check in with PG and work it out. They?ve been hiking, to a game, walked around a lot around his neighborhood and it?s been great getting to know him. Pam did stated that something difficult that?s come up is that LB gets a bit overexcited sometimes and will talk to anyone who will listen and seems not to get cues when people are over the conversation or that they?re ready to talk about something else. He?d more just talking but not engaging in conversation?not actively listening and stated she?s never seen that before and wasn?t sure how to respond or what to say to L_first_name. MEC has some experience with this and talked through some tips they can start trying out together: MEC encouraged Big to explore with LB if his excitement is coming from the activity they?re doing or if it?s a sensory processing sensitivity e.g. lots of people, loud noises etc. then together they can start mapping out cues for when L_first_name may be overcompensating and thus oversharing/over engaging with others. MEC encouraged she start asking things like: "Are you using your inside voice or your outside voice?" "Does your body feel tense?" "Do you notice other kids moving away from you?" Then, together come up with a signal or a word that you can use to let him know when you see an overexcited behavior cue or that he can use to let you know he's getting over excited. When either of you use the signal agree that you'll both practice some calming exercises or activities (like mindfulness or breathing techniques) and/or agree to switch gears. MEC will also send BS a mindfulness guide that she and LB may work on together so that LB has some support around self-regulation and so that as a match they can start exploring social emotional skills. Pam was open to this coaching and agreed to try out the mentioned tips.  MEC followed up via email: Happy Friday Pam, Thanks again for checking in this week! I'm glad things are going well between you and L_first_name! So happy that your friendship is developing and that you're both having fun exploring different activity ideas!   As promised, attached you'll find the self-care/self-love mindfulness guide (for Bigs and Littles). There are activities you can try together or decide to do apart. For activities you do apart, it's a good idea that when you do meet, you both still process the activity together by: ·          Talking about what you learned; ·          Self-awareness you gained and how you plan to incorporate it in your daily life; ·          How the activity made you feel, what you liked/didn't like about the activity etc. ·          Continue the conversation around self-care and self-love even after you've finished the guides and continue to promote this healthy self-awareness. These activities, promote a healthy lifestyle of self-compassion and empathy for both ourselves and others. Let me know if you'd like these guides printed and mailed out. I hope they support L_first_name as he continues learning about his own self regulation and social emotional skills. Keep me posted if I can be of any other assistance to your match! Best, (attached guides)</v>
          </cell>
          <cell r="E107" t="str">
            <v>Active</v>
          </cell>
          <cell r="F107" t="str">
            <v>0032J00003VeOWRQA3</v>
          </cell>
          <cell r="G107" t="str">
            <v>0032J00003YxSh5</v>
          </cell>
          <cell r="J107">
            <v>36</v>
          </cell>
          <cell r="K107" t="str">
            <v>Tech: Engineer</v>
          </cell>
          <cell r="L107" t="str">
            <v>No</v>
          </cell>
          <cell r="M107">
            <v>44260</v>
          </cell>
          <cell r="P107" t="str">
            <v>Female</v>
          </cell>
          <cell r="Q107">
            <v>32387</v>
          </cell>
          <cell r="R107" t="str">
            <v>Delta</v>
          </cell>
          <cell r="S107" t="str">
            <v>Virtual Match</v>
          </cell>
          <cell r="T107" t="str">
            <v>Community</v>
          </cell>
          <cell r="U107" t="str">
            <v>White or Caucasian;</v>
          </cell>
          <cell r="Y107" t="str">
            <v>1. Distance: 14 miles (18 mins) 2. Shared Traits: Both are friendly, talkative, polite, curious, energetic and respectful. 3. Shared Interests: Both love math, engineering, active outdoorsy, animals and trying new things. ***Both family and BS are open to cross-gender matching.</v>
          </cell>
          <cell r="Z107" t="str">
            <v>CB Volunteer Enrollment</v>
          </cell>
          <cell r="AA107">
            <v>44033</v>
          </cell>
          <cell r="AB107">
            <v>44034</v>
          </cell>
          <cell r="AE107">
            <v>14</v>
          </cell>
          <cell r="AH107">
            <v>0</v>
          </cell>
          <cell r="AO107">
            <v>43985</v>
          </cell>
          <cell r="AP107">
            <v>43986</v>
          </cell>
          <cell r="AR107" t="str">
            <v>Married</v>
          </cell>
          <cell r="AT107">
            <v>0</v>
          </cell>
          <cell r="AU107">
            <v>1</v>
          </cell>
          <cell r="AV107">
            <v>44000</v>
          </cell>
          <cell r="AX107">
            <v>44210</v>
          </cell>
          <cell r="AY107">
            <v>44233</v>
          </cell>
          <cell r="BG107" t="str">
            <v>Soccer and any kind of sports</v>
          </cell>
          <cell r="BK107" t="str">
            <v>Male</v>
          </cell>
          <cell r="BL107" t="str">
            <v>Black or African American</v>
          </cell>
          <cell r="BM107">
            <v>40969</v>
          </cell>
          <cell r="BN107">
            <v>271630710213</v>
          </cell>
          <cell r="BO107">
            <v>271230357001</v>
          </cell>
          <cell r="BQ107">
            <v>47.1</v>
          </cell>
        </row>
      </sheetData>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
  <sheetViews>
    <sheetView tabSelected="1" topLeftCell="B1" zoomScale="85" zoomScaleNormal="85" workbookViewId="0">
      <selection activeCell="L2" sqref="L2"/>
    </sheetView>
  </sheetViews>
  <sheetFormatPr defaultRowHeight="14.25" x14ac:dyDescent="0.45"/>
  <cols>
    <col min="1" max="1" width="19.796875" customWidth="1"/>
    <col min="2" max="2" width="11.796875" bestFit="1" customWidth="1"/>
    <col min="3" max="3" width="17.3984375" bestFit="1" customWidth="1"/>
    <col min="4" max="4" width="17.3984375" customWidth="1"/>
    <col min="5" max="5" width="12.33203125" bestFit="1" customWidth="1"/>
    <col min="6" max="10" width="19.796875" customWidth="1"/>
    <col min="11" max="11" width="90" customWidth="1"/>
    <col min="12" max="12" width="19.265625" style="6" bestFit="1" customWidth="1"/>
    <col min="13" max="13" width="11.1328125" style="6" bestFit="1" customWidth="1"/>
    <col min="14" max="14" width="19.3984375" bestFit="1" customWidth="1"/>
    <col min="15" max="15" width="8.73046875" style="5" bestFit="1" customWidth="1"/>
    <col min="16" max="17" width="8.73046875" style="5" customWidth="1"/>
    <col min="18" max="18" width="16.19921875" style="10" bestFit="1" customWidth="1"/>
    <col min="19" max="19" width="16.46484375" bestFit="1" customWidth="1"/>
    <col min="23" max="23" width="23.9296875" bestFit="1" customWidth="1"/>
    <col min="24" max="24" width="30.86328125" bestFit="1" customWidth="1"/>
    <col min="25" max="25" width="14.86328125" bestFit="1" customWidth="1"/>
    <col min="26" max="26" width="16.19921875" style="10" bestFit="1" customWidth="1"/>
  </cols>
  <sheetData>
    <row r="1" spans="1:27" s="8" customFormat="1" x14ac:dyDescent="0.45">
      <c r="A1" s="1" t="s">
        <v>0</v>
      </c>
      <c r="B1" s="1" t="s">
        <v>47</v>
      </c>
      <c r="C1" s="1" t="s">
        <v>48</v>
      </c>
      <c r="D1" s="1" t="s">
        <v>50</v>
      </c>
      <c r="E1" s="1" t="s">
        <v>49</v>
      </c>
      <c r="F1" s="1" t="s">
        <v>1</v>
      </c>
      <c r="G1" s="1" t="s">
        <v>2</v>
      </c>
      <c r="H1" s="1" t="s">
        <v>3</v>
      </c>
      <c r="I1" s="1" t="s">
        <v>4</v>
      </c>
      <c r="J1" s="1" t="s">
        <v>5</v>
      </c>
      <c r="K1" s="12" t="s">
        <v>51</v>
      </c>
      <c r="L1" s="7" t="s">
        <v>33</v>
      </c>
      <c r="M1" s="7" t="s">
        <v>40</v>
      </c>
      <c r="N1" s="8" t="s">
        <v>34</v>
      </c>
      <c r="O1" s="4" t="s">
        <v>36</v>
      </c>
      <c r="P1" s="4" t="s">
        <v>42</v>
      </c>
      <c r="Q1" s="4" t="s">
        <v>43</v>
      </c>
      <c r="R1" s="9" t="s">
        <v>46</v>
      </c>
      <c r="S1" s="3" t="s">
        <v>35</v>
      </c>
      <c r="T1" s="8" t="s">
        <v>37</v>
      </c>
      <c r="U1" s="4" t="s">
        <v>44</v>
      </c>
      <c r="V1" s="4" t="s">
        <v>45</v>
      </c>
      <c r="W1" s="8" t="s">
        <v>38</v>
      </c>
      <c r="X1" s="8" t="s">
        <v>41</v>
      </c>
      <c r="Y1" s="8" t="s">
        <v>39</v>
      </c>
      <c r="Z1" s="11" t="s">
        <v>46</v>
      </c>
      <c r="AA1" s="8" t="s">
        <v>52</v>
      </c>
    </row>
    <row r="2" spans="1:27" ht="409.5" x14ac:dyDescent="0.45">
      <c r="A2" t="s">
        <v>6</v>
      </c>
      <c r="B2" t="str">
        <f>VLOOKUP(A2,'[1]Testing Set'!$A:$E,5,FALSE)</f>
        <v>Active</v>
      </c>
      <c r="C2" s="6"/>
      <c r="D2" s="6" t="str">
        <f>VLOOKUP(A2,'[1]Testing Set'!$A:$T,19,FALSE)</f>
        <v>General Community</v>
      </c>
      <c r="E2" s="6" t="str">
        <f>VLOOKUP(A2,'[1]Testing Set'!$A:$T,20,FALSE)</f>
        <v>Community</v>
      </c>
      <c r="F2" t="s">
        <v>12</v>
      </c>
      <c r="I2" t="s">
        <v>21</v>
      </c>
      <c r="J2" t="s">
        <v>27</v>
      </c>
      <c r="K2" s="13" t="s">
        <v>53</v>
      </c>
      <c r="L2" s="6">
        <f>VLOOKUP(A2,'[1]Testing Set'!$A:$BQ,2,FALSE)</f>
        <v>43111</v>
      </c>
      <c r="M2" s="6">
        <f>VLOOKUP(A2,'[1]Testing Set'!$A:$M,13,FALSE)</f>
        <v>43102</v>
      </c>
      <c r="N2" t="str">
        <f>VLOOKUP(A2,'[1]Testing Set'!$A:$G,6,FALSE)</f>
        <v>0032J00003PLeoRQAT</v>
      </c>
      <c r="O2" s="5">
        <f ca="1">YEAR(NOW())-YEAR(VLOOKUP(A2,'[1]Testing Set'!$A:$BM,65,FALSE))</f>
        <v>18</v>
      </c>
      <c r="P2" s="5" t="str">
        <f>VLOOKUP(A2,'[1]Testing Set'!$A:$BK,63,FALSE)</f>
        <v>Male</v>
      </c>
      <c r="Q2" s="5" t="str">
        <f>VLOOKUP(A2,'[1]Testing Set'!$A:$BL,64,FALSE)</f>
        <v>Black or African American; White or Caucasian</v>
      </c>
      <c r="R2" s="10">
        <f>VLOOKUP(A2,'[1]Testing Set'!$A:$BO,66,FALSE)</f>
        <v>270030508182</v>
      </c>
      <c r="S2" t="str">
        <f>VLOOKUP(A2,'[1]Testing Set'!$A:$G,7,FALSE)</f>
        <v>0032J00003Ph14N</v>
      </c>
      <c r="T2">
        <f>VLOOKUP(A2,'[1]Testing Set'!$A:$J,10,FALSE)</f>
        <v>61</v>
      </c>
      <c r="U2" t="str">
        <f>VLOOKUP(A2,'[1]Testing Set'!$A:$P,16,FALSE)</f>
        <v>Male</v>
      </c>
      <c r="V2" t="str">
        <f>VLOOKUP(A2,'[1]Testing Set'!$A:$U,21,FALSE)</f>
        <v>White or Caucasian;</v>
      </c>
      <c r="W2" t="str">
        <f>VLOOKUP(A2,'[1]Testing Set'!$A:$K,11,FALSE)</f>
        <v>Finance: Banking</v>
      </c>
      <c r="X2" t="str">
        <f>VLOOKUP(A2,'[1]Testing Set'!$A:$R,18,FALSE)</f>
        <v>Wells Fargo</v>
      </c>
      <c r="Y2">
        <f>VLOOKUP(A2,'[1]Testing Set'!$A:$N,14,FALSE)</f>
        <v>0</v>
      </c>
      <c r="Z2" s="10">
        <f>VLOOKUP(A2,'[1]Testing Set'!$A:$BO,67,FALSE)</f>
        <v>0</v>
      </c>
      <c r="AA2">
        <f>VLOOKUP(A2,'[1]Testing Set'!$A:$BQ,69,FALSE)</f>
        <v>85.6</v>
      </c>
    </row>
    <row r="3" spans="1:27" x14ac:dyDescent="0.45">
      <c r="A3" t="s">
        <v>7</v>
      </c>
      <c r="B3" t="str">
        <f>VLOOKUP(A3,'[1]Testing Set'!$A:$E,5,FALSE)</f>
        <v>Closed</v>
      </c>
      <c r="C3" s="6"/>
      <c r="D3" s="6" t="str">
        <f>VLOOKUP(A3,'[1]Testing Set'!$A:$T,19,FALSE)</f>
        <v>General Community</v>
      </c>
      <c r="E3" s="6" t="str">
        <f>VLOOKUP(A3,'[1]Testing Set'!$A:$T,20,FALSE)</f>
        <v>Community</v>
      </c>
      <c r="F3" t="s">
        <v>13</v>
      </c>
      <c r="G3" t="s">
        <v>16</v>
      </c>
      <c r="H3" t="s">
        <v>19</v>
      </c>
      <c r="I3" t="s">
        <v>22</v>
      </c>
      <c r="J3" t="s">
        <v>28</v>
      </c>
      <c r="K3" s="14" t="s">
        <v>54</v>
      </c>
      <c r="L3" s="6">
        <f>VLOOKUP(A3,'[1]Testing Set'!$A:$BQ,2,FALSE)</f>
        <v>43202</v>
      </c>
      <c r="M3" s="6">
        <f>VLOOKUP(A3,'[1]Testing Set'!$A:$M,13,FALSE)</f>
        <v>43201</v>
      </c>
      <c r="N3" t="str">
        <f>VLOOKUP(A3,'[1]Testing Set'!$A:$G,6,FALSE)</f>
        <v>0032J00003PfZ6OQAV</v>
      </c>
      <c r="O3" s="5">
        <f ca="1">YEAR(NOW())-YEAR(VLOOKUP(A3,'[1]Testing Set'!$A:$BM,65,FALSE))</f>
        <v>19</v>
      </c>
      <c r="P3" s="5" t="str">
        <f>VLOOKUP(A3,'[1]Testing Set'!$A:$BK,63,FALSE)</f>
        <v>Female</v>
      </c>
      <c r="Q3" s="5" t="str">
        <f>VLOOKUP(A3,'[1]Testing Set'!$A:$BL,64,FALSE)</f>
        <v>Black or African American; White or Caucasian</v>
      </c>
      <c r="R3" s="10">
        <f>VLOOKUP(A3,'[1]Testing Set'!$A:$BO,66,FALSE)</f>
        <v>271630703034</v>
      </c>
      <c r="S3" t="str">
        <f>VLOOKUP(A3,'[1]Testing Set'!$A:$G,7,FALSE)</f>
        <v>0032J00003PgoV1</v>
      </c>
      <c r="T3">
        <f>VLOOKUP(A3,'[1]Testing Set'!$A:$J,10,FALSE)</f>
        <v>65</v>
      </c>
      <c r="U3" t="str">
        <f>VLOOKUP(A3,'[1]Testing Set'!$A:$P,16,FALSE)</f>
        <v>Female</v>
      </c>
      <c r="V3" t="str">
        <f>VLOOKUP(A3,'[1]Testing Set'!$A:$U,21,FALSE)</f>
        <v>White or Caucasian;</v>
      </c>
      <c r="W3" t="str">
        <f>VLOOKUP(A3,'[1]Testing Set'!$A:$K,11,FALSE)</f>
        <v>Tech: Research/Design</v>
      </c>
      <c r="X3" t="str">
        <f>VLOOKUP(A3,'[1]Testing Set'!$A:$R,18,FALSE)</f>
        <v>3M</v>
      </c>
      <c r="Y3">
        <f>VLOOKUP(A3,'[1]Testing Set'!$A:$N,14,FALSE)</f>
        <v>0</v>
      </c>
      <c r="Z3" s="10">
        <f>VLOOKUP(A3,'[1]Testing Set'!$A:$BO,67,FALSE)</f>
        <v>271630702061</v>
      </c>
      <c r="AA3">
        <f>VLOOKUP(A3,'[1]Testing Set'!$A:$BQ,69,FALSE)</f>
        <v>46.1</v>
      </c>
    </row>
    <row r="4" spans="1:27" x14ac:dyDescent="0.45">
      <c r="A4" t="s">
        <v>8</v>
      </c>
      <c r="B4" t="str">
        <f>VLOOKUP(A4,'[1]Testing Set'!$A:$E,5,FALSE)</f>
        <v>Closed</v>
      </c>
      <c r="C4" s="6"/>
      <c r="D4" s="6" t="str">
        <f>VLOOKUP(A4,'[1]Testing Set'!$A:$T,19,FALSE)</f>
        <v>General Community</v>
      </c>
      <c r="E4" s="6" t="str">
        <f>VLOOKUP(A4,'[1]Testing Set'!$A:$T,20,FALSE)</f>
        <v>Community</v>
      </c>
      <c r="F4" t="s">
        <v>14</v>
      </c>
      <c r="G4" t="s">
        <v>17</v>
      </c>
      <c r="H4" t="s">
        <v>20</v>
      </c>
      <c r="I4" t="s">
        <v>23</v>
      </c>
      <c r="J4" t="s">
        <v>29</v>
      </c>
      <c r="K4" s="14" t="s">
        <v>55</v>
      </c>
      <c r="L4" s="6">
        <f>VLOOKUP(A4,'[1]Testing Set'!$A:$BQ,2,FALSE)</f>
        <v>43818</v>
      </c>
      <c r="M4" s="6">
        <f>VLOOKUP(A4,'[1]Testing Set'!$A:$M,13,FALSE)</f>
        <v>43795</v>
      </c>
      <c r="N4" t="str">
        <f>VLOOKUP(A4,'[1]Testing Set'!$A:$G,6,FALSE)</f>
        <v>0032J00003VeNqZQAV</v>
      </c>
      <c r="O4" s="5">
        <f ca="1">YEAR(NOW())-YEAR(VLOOKUP(A4,'[1]Testing Set'!$A:$BM,65,FALSE))</f>
        <v>16</v>
      </c>
      <c r="P4" s="5" t="str">
        <f>VLOOKUP(A4,'[1]Testing Set'!$A:$BK,63,FALSE)</f>
        <v>Female</v>
      </c>
      <c r="Q4" s="5" t="str">
        <f>VLOOKUP(A4,'[1]Testing Set'!$A:$BL,64,FALSE)</f>
        <v>Black or African American</v>
      </c>
      <c r="R4" s="10">
        <f>VLOOKUP(A4,'[1]Testing Set'!$A:$BO,66,FALSE)</f>
        <v>270530121011</v>
      </c>
      <c r="S4" t="str">
        <f>VLOOKUP(A4,'[1]Testing Set'!$A:$G,7,FALSE)</f>
        <v>0032J00003UpZ4K</v>
      </c>
      <c r="T4">
        <f>VLOOKUP(A4,'[1]Testing Set'!$A:$J,10,FALSE)</f>
        <v>29</v>
      </c>
      <c r="U4" t="str">
        <f>VLOOKUP(A4,'[1]Testing Set'!$A:$P,16,FALSE)</f>
        <v>Female</v>
      </c>
      <c r="V4" t="str">
        <f>VLOOKUP(A4,'[1]Testing Set'!$A:$U,21,FALSE)</f>
        <v>White or Caucasian;</v>
      </c>
      <c r="W4" t="str">
        <f>VLOOKUP(A4,'[1]Testing Set'!$A:$K,11,FALSE)</f>
        <v>Medical: Healthcare Worker</v>
      </c>
      <c r="X4" t="str">
        <f>VLOOKUP(A4,'[1]Testing Set'!$A:$R,18,FALSE)</f>
        <v>U of MN Masonic Childrens Hospital</v>
      </c>
      <c r="Y4">
        <f>VLOOKUP(A4,'[1]Testing Set'!$A:$N,14,FALSE)</f>
        <v>0</v>
      </c>
      <c r="Z4" s="10">
        <f>VLOOKUP(A4,'[1]Testing Set'!$A:$BO,67,FALSE)</f>
        <v>270531065001</v>
      </c>
      <c r="AA4">
        <f>VLOOKUP(A4,'[1]Testing Set'!$A:$BQ,69,FALSE)</f>
        <v>16.899999999999999</v>
      </c>
    </row>
    <row r="5" spans="1:27" ht="15" customHeight="1" x14ac:dyDescent="0.45">
      <c r="A5" t="s">
        <v>9</v>
      </c>
      <c r="B5" t="str">
        <f>VLOOKUP(A5,'[1]Testing Set'!$A:$E,5,FALSE)</f>
        <v>Active</v>
      </c>
      <c r="C5" s="6"/>
      <c r="D5" s="6" t="str">
        <f>VLOOKUP(A5,'[1]Testing Set'!$A:$T,19,FALSE)</f>
        <v>Virtual Match</v>
      </c>
      <c r="E5" s="6" t="str">
        <f>VLOOKUP(A5,'[1]Testing Set'!$A:$T,20,FALSE)</f>
        <v>Community</v>
      </c>
      <c r="F5" t="s">
        <v>15</v>
      </c>
      <c r="I5" s="2" t="s">
        <v>24</v>
      </c>
      <c r="J5" t="s">
        <v>30</v>
      </c>
      <c r="K5" s="14" t="s">
        <v>56</v>
      </c>
      <c r="L5" s="6">
        <f>VLOOKUP(A5,'[1]Testing Set'!$A:$BQ,2,FALSE)</f>
        <v>44280</v>
      </c>
      <c r="M5" s="6">
        <f>VLOOKUP(A5,'[1]Testing Set'!$A:$M,13,FALSE)</f>
        <v>44260</v>
      </c>
      <c r="N5" t="str">
        <f>VLOOKUP(A5,'[1]Testing Set'!$A:$G,6,FALSE)</f>
        <v>0032J00003VeOWRQA3</v>
      </c>
      <c r="O5" s="5">
        <f ca="1">YEAR(NOW())-YEAR(VLOOKUP(A5,'[1]Testing Set'!$A:$BM,65,FALSE))</f>
        <v>13</v>
      </c>
      <c r="P5" s="5" t="str">
        <f>VLOOKUP(A5,'[1]Testing Set'!$A:$BK,63,FALSE)</f>
        <v>Male</v>
      </c>
      <c r="Q5" s="5" t="str">
        <f>VLOOKUP(A5,'[1]Testing Set'!$A:$BL,64,FALSE)</f>
        <v>Black or African American</v>
      </c>
      <c r="R5" s="10">
        <f>VLOOKUP(A5,'[1]Testing Set'!$A:$BO,66,FALSE)</f>
        <v>271630710213</v>
      </c>
      <c r="S5" t="str">
        <f>VLOOKUP(A5,'[1]Testing Set'!$A:$G,7,FALSE)</f>
        <v>0032J00003YxSh5</v>
      </c>
      <c r="T5">
        <f>VLOOKUP(A5,'[1]Testing Set'!$A:$J,10,FALSE)</f>
        <v>36</v>
      </c>
      <c r="U5" t="str">
        <f>VLOOKUP(A5,'[1]Testing Set'!$A:$P,16,FALSE)</f>
        <v>Female</v>
      </c>
      <c r="V5" t="str">
        <f>VLOOKUP(A5,'[1]Testing Set'!$A:$U,21,FALSE)</f>
        <v>White or Caucasian;</v>
      </c>
      <c r="W5" t="str">
        <f>VLOOKUP(A5,'[1]Testing Set'!$A:$K,11,FALSE)</f>
        <v>Tech: Engineer</v>
      </c>
      <c r="X5" t="str">
        <f>VLOOKUP(A5,'[1]Testing Set'!$A:$R,18,FALSE)</f>
        <v>Delta</v>
      </c>
      <c r="Y5">
        <f>VLOOKUP(A5,'[1]Testing Set'!$A:$N,14,FALSE)</f>
        <v>0</v>
      </c>
      <c r="Z5" s="10">
        <f>VLOOKUP(A5,'[1]Testing Set'!$A:$BO,67,FALSE)</f>
        <v>271230357001</v>
      </c>
      <c r="AA5">
        <f>VLOOKUP(A5,'[1]Testing Set'!$A:$BQ,69,FALSE)</f>
        <v>47.1</v>
      </c>
    </row>
    <row r="6" spans="1:27" ht="14.25" customHeight="1" x14ac:dyDescent="0.45">
      <c r="A6" t="s">
        <v>10</v>
      </c>
      <c r="B6" t="str">
        <f>VLOOKUP(A6,'[1]Testing Set'!$A:$E,5,FALSE)</f>
        <v>Closed</v>
      </c>
      <c r="C6" s="6">
        <f>VLOOKUP(A6,'[1]Testing Set'!$A:$X,24,FALSE)</f>
        <v>43007</v>
      </c>
      <c r="D6" s="6" t="str">
        <f>VLOOKUP(A6,'[1]Testing Set'!$A:$T,19,FALSE)</f>
        <v>General Community</v>
      </c>
      <c r="E6" s="6" t="str">
        <f>VLOOKUP(A6,'[1]Testing Set'!$A:$T,20,FALSE)</f>
        <v>Community</v>
      </c>
      <c r="G6" t="s">
        <v>17</v>
      </c>
      <c r="I6" s="2" t="s">
        <v>25</v>
      </c>
      <c r="J6" t="s">
        <v>31</v>
      </c>
      <c r="K6" s="14" t="s">
        <v>57</v>
      </c>
      <c r="L6" s="6">
        <f>VLOOKUP(A6,'[1]Testing Set'!$A:$BQ,2,FALSE)</f>
        <v>42817</v>
      </c>
      <c r="M6" s="6">
        <f>VLOOKUP(A6,'[1]Testing Set'!$A:$M,13,FALSE)</f>
        <v>0</v>
      </c>
      <c r="N6" t="str">
        <f>VLOOKUP(A6,'[1]Testing Set'!$A:$G,6,FALSE)</f>
        <v>0032J00003PLeoRQAT</v>
      </c>
      <c r="O6" s="5">
        <f ca="1">YEAR(NOW())-YEAR(VLOOKUP(A6,'[1]Testing Set'!$A:$BM,65,FALSE))</f>
        <v>18</v>
      </c>
      <c r="P6" s="5" t="str">
        <f>VLOOKUP(A6,'[1]Testing Set'!$A:$BK,63,FALSE)</f>
        <v>Male</v>
      </c>
      <c r="Q6" s="5" t="str">
        <f>VLOOKUP(A6,'[1]Testing Set'!$A:$BL,64,FALSE)</f>
        <v>Black or African American; White or Caucasian</v>
      </c>
      <c r="R6" s="10">
        <f>VLOOKUP(A6,'[1]Testing Set'!$A:$BO,66,FALSE)</f>
        <v>270030508182</v>
      </c>
      <c r="S6" t="str">
        <f>VLOOKUP(A6,'[1]Testing Set'!$A:$G,7,FALSE)</f>
        <v>0032J00003Ph0MT</v>
      </c>
      <c r="T6">
        <f>VLOOKUP(A6,'[1]Testing Set'!$A:$J,10,FALSE)</f>
        <v>45</v>
      </c>
      <c r="U6" t="str">
        <f>VLOOKUP(A6,'[1]Testing Set'!$A:$P,16,FALSE)</f>
        <v>Male</v>
      </c>
      <c r="V6" t="str">
        <f>VLOOKUP(A6,'[1]Testing Set'!$A:$U,21,FALSE)</f>
        <v>Asian;</v>
      </c>
      <c r="W6" t="str">
        <f>VLOOKUP(A6,'[1]Testing Set'!$A:$K,11,FALSE)</f>
        <v>Military</v>
      </c>
      <c r="X6" t="str">
        <f>VLOOKUP(A6,'[1]Testing Set'!$A:$R,18,FALSE)</f>
        <v>US Army</v>
      </c>
      <c r="Y6" t="str">
        <f>VLOOKUP(A6,'[1]Testing Set'!$A:$N,14,FALSE)</f>
        <v>Bachelors Degree</v>
      </c>
      <c r="Z6" s="10">
        <f>VLOOKUP(A6,'[1]Testing Set'!$A:$BO,67,FALSE)</f>
        <v>271230413024</v>
      </c>
      <c r="AA6">
        <f>VLOOKUP(A6,'[1]Testing Set'!$A:$BQ,69,FALSE)</f>
        <v>6.2</v>
      </c>
    </row>
    <row r="7" spans="1:27" ht="16.5" customHeight="1" x14ac:dyDescent="0.45">
      <c r="A7" t="s">
        <v>11</v>
      </c>
      <c r="B7" t="str">
        <f>VLOOKUP(A7,'[1]Testing Set'!$A:$E,5,FALSE)</f>
        <v>Closed</v>
      </c>
      <c r="C7" s="6">
        <f>VLOOKUP(A7,'[1]Testing Set'!$A:$X,24,FALSE)</f>
        <v>43070</v>
      </c>
      <c r="D7" s="6" t="str">
        <f>VLOOKUP(A7,'[1]Testing Set'!$A:$T,19,FALSE)</f>
        <v>General Community</v>
      </c>
      <c r="E7" s="6" t="str">
        <f>VLOOKUP(A7,'[1]Testing Set'!$A:$T,20,FALSE)</f>
        <v>Community</v>
      </c>
      <c r="G7" t="s">
        <v>18</v>
      </c>
      <c r="I7" s="2" t="s">
        <v>26</v>
      </c>
      <c r="J7" s="2" t="s">
        <v>32</v>
      </c>
      <c r="K7" s="14" t="s">
        <v>58</v>
      </c>
      <c r="L7" s="6">
        <f>VLOOKUP(A7,'[1]Testing Set'!$A:$BQ,2,FALSE)</f>
        <v>42797</v>
      </c>
      <c r="M7" s="6">
        <f>VLOOKUP(A7,'[1]Testing Set'!$A:$M,13,FALSE)</f>
        <v>0</v>
      </c>
      <c r="N7" t="str">
        <f>VLOOKUP(A7,'[1]Testing Set'!$A:$G,6,FALSE)</f>
        <v>0032J00003PLe29QAD</v>
      </c>
      <c r="O7" s="5">
        <f ca="1">YEAR(NOW())-YEAR(VLOOKUP(A7,'[1]Testing Set'!$A:$BM,65,FALSE))</f>
        <v>21</v>
      </c>
      <c r="P7" s="5" t="str">
        <f>VLOOKUP(A7,'[1]Testing Set'!$A:$BK,63,FALSE)</f>
        <v>Female</v>
      </c>
      <c r="Q7" s="5" t="str">
        <f>VLOOKUP(A7,'[1]Testing Set'!$A:$BL,64,FALSE)</f>
        <v>Black or African American</v>
      </c>
      <c r="R7" s="10">
        <f>VLOOKUP(A7,'[1]Testing Set'!$A:$BO,66,FALSE)</f>
        <v>270530268165</v>
      </c>
      <c r="S7" t="str">
        <f>VLOOKUP(A7,'[1]Testing Set'!$A:$G,7,FALSE)</f>
        <v>0032J00003PhDOI</v>
      </c>
      <c r="T7">
        <f>VLOOKUP(A7,'[1]Testing Set'!$A:$J,10,FALSE)</f>
        <v>40</v>
      </c>
      <c r="U7" t="str">
        <f>VLOOKUP(A7,'[1]Testing Set'!$A:$P,16,FALSE)</f>
        <v>Female</v>
      </c>
      <c r="V7" t="str">
        <f>VLOOKUP(A7,'[1]Testing Set'!$A:$U,21,FALSE)</f>
        <v>Black or African American;White or Caucasian;</v>
      </c>
      <c r="W7" t="str">
        <f>VLOOKUP(A7,'[1]Testing Set'!$A:$K,11,FALSE)</f>
        <v>Unemployed</v>
      </c>
      <c r="X7" t="str">
        <f>VLOOKUP(A7,'[1]Testing Set'!$A:$R,18,FALSE)</f>
        <v>On a writing sabbatical</v>
      </c>
      <c r="Y7" t="str">
        <f>VLOOKUP(A7,'[1]Testing Set'!$A:$N,14,FALSE)</f>
        <v>Masters Degree</v>
      </c>
      <c r="Z7" s="10">
        <f>VLOOKUP(A7,'[1]Testing Set'!$A:$BO,67,FALSE)</f>
        <v>270530212004</v>
      </c>
      <c r="AA7">
        <f>VLOOKUP(A7,'[1]Testing Set'!$A:$BQ,69,FALSE)</f>
        <v>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2025-04-01T01:15:51Z</dcterms:created>
  <dcterms:modified xsi:type="dcterms:W3CDTF">2025-04-01T02:02:50Z</dcterms:modified>
</cp:coreProperties>
</file>